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ytte\Desktop\CLAUDE CODE WORK\"/>
    </mc:Choice>
  </mc:AlternateContent>
  <xr:revisionPtr revIDLastSave="0" documentId="8_{F4C0E8D5-45E0-4D02-A0F9-0C17134EADC0}" xr6:coauthVersionLast="47" xr6:coauthVersionMax="47" xr10:uidLastSave="{00000000-0000-0000-0000-000000000000}"/>
  <bookViews>
    <workbookView xWindow="0" yWindow="1884" windowWidth="23040" windowHeight="10764" xr2:uid="{00000000-000D-0000-FFFF-FFFF00000000}"/>
  </bookViews>
  <sheets>
    <sheet name="Inputs" sheetId="1" r:id="rId1"/>
    <sheet name="Calculations" sheetId="2" r:id="rId2"/>
    <sheet name="EVA Dashboard" sheetId="3" r:id="rId3"/>
    <sheet name="Veeva Projection" sheetId="4" r:id="rId4"/>
    <sheet name="Formulas Guid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4" l="1"/>
  <c r="D16" i="4"/>
  <c r="F16" i="4" s="1"/>
  <c r="I15" i="4"/>
  <c r="D15" i="4"/>
  <c r="F15" i="4" s="1"/>
  <c r="I14" i="4"/>
  <c r="D14" i="4"/>
  <c r="F14" i="4" s="1"/>
  <c r="I13" i="4"/>
  <c r="F13" i="4"/>
  <c r="D13" i="4"/>
  <c r="I12" i="4"/>
  <c r="D12" i="4"/>
  <c r="F12" i="4" s="1"/>
  <c r="I11" i="4"/>
  <c r="D11" i="4"/>
  <c r="F11" i="4" s="1"/>
  <c r="G18" i="3"/>
  <c r="F18" i="3"/>
  <c r="A18" i="3"/>
  <c r="L17" i="2"/>
  <c r="K17" i="2"/>
  <c r="J17" i="2"/>
  <c r="I17" i="2"/>
  <c r="G17" i="2"/>
  <c r="M17" i="2" s="1"/>
  <c r="C17" i="2"/>
  <c r="B17" i="2"/>
  <c r="A17" i="2"/>
  <c r="L16" i="2"/>
  <c r="K16" i="2"/>
  <c r="J16" i="2"/>
  <c r="G17" i="3" s="1"/>
  <c r="I16" i="2"/>
  <c r="F17" i="3" s="1"/>
  <c r="G16" i="2"/>
  <c r="C16" i="2"/>
  <c r="B16" i="2"/>
  <c r="A16" i="2"/>
  <c r="A17" i="3" s="1"/>
  <c r="L15" i="2"/>
  <c r="K15" i="2"/>
  <c r="J15" i="2"/>
  <c r="G16" i="3" s="1"/>
  <c r="I15" i="2"/>
  <c r="F16" i="3" s="1"/>
  <c r="G15" i="2"/>
  <c r="C15" i="2"/>
  <c r="B15" i="2"/>
  <c r="A15" i="2"/>
  <c r="A16" i="3" s="1"/>
  <c r="L14" i="2"/>
  <c r="K14" i="2"/>
  <c r="J14" i="2"/>
  <c r="G15" i="3" s="1"/>
  <c r="I14" i="2"/>
  <c r="F15" i="3" s="1"/>
  <c r="G14" i="2"/>
  <c r="C14" i="2"/>
  <c r="B14" i="2"/>
  <c r="A14" i="2"/>
  <c r="A15" i="3" s="1"/>
  <c r="L13" i="2"/>
  <c r="K13" i="2"/>
  <c r="J13" i="2"/>
  <c r="G14" i="3" s="1"/>
  <c r="I13" i="2"/>
  <c r="F14" i="3" s="1"/>
  <c r="G13" i="2"/>
  <c r="C13" i="2"/>
  <c r="B13" i="2"/>
  <c r="A13" i="2"/>
  <c r="A14" i="3" s="1"/>
  <c r="L12" i="2"/>
  <c r="K12" i="2"/>
  <c r="J12" i="2"/>
  <c r="G13" i="3" s="1"/>
  <c r="I12" i="2"/>
  <c r="F13" i="3" s="1"/>
  <c r="G12" i="2"/>
  <c r="C12" i="2"/>
  <c r="B12" i="2"/>
  <c r="A12" i="2"/>
  <c r="A13" i="3" s="1"/>
  <c r="L11" i="2"/>
  <c r="K11" i="2"/>
  <c r="J11" i="2"/>
  <c r="G12" i="3" s="1"/>
  <c r="I11" i="2"/>
  <c r="F12" i="3" s="1"/>
  <c r="G11" i="2"/>
  <c r="C11" i="2"/>
  <c r="B11" i="2"/>
  <c r="A11" i="2"/>
  <c r="A12" i="3" s="1"/>
  <c r="L10" i="2"/>
  <c r="K10" i="2"/>
  <c r="J10" i="2"/>
  <c r="G11" i="3" s="1"/>
  <c r="I10" i="2"/>
  <c r="F11" i="3" s="1"/>
  <c r="G10" i="2"/>
  <c r="C10" i="2"/>
  <c r="B10" i="2"/>
  <c r="A10" i="2"/>
  <c r="A11" i="3" s="1"/>
  <c r="L9" i="2"/>
  <c r="K9" i="2"/>
  <c r="J9" i="2"/>
  <c r="G10" i="3" s="1"/>
  <c r="I9" i="2"/>
  <c r="F10" i="3" s="1"/>
  <c r="G9" i="2"/>
  <c r="C9" i="2"/>
  <c r="B9" i="2"/>
  <c r="A9" i="2"/>
  <c r="A10" i="3" s="1"/>
  <c r="L8" i="2"/>
  <c r="K8" i="2"/>
  <c r="J8" i="2"/>
  <c r="G9" i="3" s="1"/>
  <c r="I8" i="2"/>
  <c r="F9" i="3" s="1"/>
  <c r="G8" i="2"/>
  <c r="C8" i="2"/>
  <c r="B8" i="2"/>
  <c r="A8" i="2"/>
  <c r="A9" i="3" s="1"/>
  <c r="L7" i="2"/>
  <c r="K7" i="2"/>
  <c r="J7" i="2"/>
  <c r="G8" i="3" s="1"/>
  <c r="I7" i="2"/>
  <c r="F8" i="3" s="1"/>
  <c r="G7" i="2"/>
  <c r="C7" i="2"/>
  <c r="B7" i="2"/>
  <c r="A7" i="2"/>
  <c r="A8" i="3" s="1"/>
  <c r="L6" i="2"/>
  <c r="K6" i="2"/>
  <c r="J6" i="2"/>
  <c r="G7" i="3" s="1"/>
  <c r="I6" i="2"/>
  <c r="F7" i="3" s="1"/>
  <c r="G6" i="2"/>
  <c r="C6" i="2"/>
  <c r="B6" i="2"/>
  <c r="A6" i="2"/>
  <c r="A7" i="3" s="1"/>
  <c r="L5" i="2"/>
  <c r="K5" i="2"/>
  <c r="J5" i="2"/>
  <c r="G6" i="3" s="1"/>
  <c r="I5" i="2"/>
  <c r="F6" i="3" s="1"/>
  <c r="G5" i="2"/>
  <c r="C5" i="2"/>
  <c r="B5" i="2"/>
  <c r="A5" i="2"/>
  <c r="A6" i="3" s="1"/>
  <c r="L4" i="2"/>
  <c r="K4" i="2"/>
  <c r="J4" i="2"/>
  <c r="G5" i="3" s="1"/>
  <c r="I4" i="2"/>
  <c r="F5" i="3" s="1"/>
  <c r="H4" i="2"/>
  <c r="B5" i="3" s="1"/>
  <c r="G4" i="2"/>
  <c r="C4" i="2"/>
  <c r="B4" i="2"/>
  <c r="A4" i="2"/>
  <c r="A5" i="3" s="1"/>
  <c r="J16" i="4" l="1"/>
  <c r="K16" i="4" s="1"/>
  <c r="L16" i="4"/>
  <c r="M16" i="4" s="1"/>
  <c r="J15" i="4"/>
  <c r="K15" i="4" s="1"/>
  <c r="L15" i="4"/>
  <c r="M15" i="4" s="1"/>
  <c r="L14" i="4"/>
  <c r="M14" i="4" s="1"/>
  <c r="J14" i="4"/>
  <c r="K14" i="4" s="1"/>
  <c r="J13" i="4"/>
  <c r="K13" i="4" s="1"/>
  <c r="L13" i="4"/>
  <c r="M13" i="4" s="1"/>
  <c r="L12" i="4"/>
  <c r="M12" i="4" s="1"/>
  <c r="J12" i="4"/>
  <c r="K12" i="4" s="1"/>
  <c r="J11" i="4"/>
  <c r="K11" i="4" s="1"/>
  <c r="L11" i="4"/>
  <c r="M11" i="4" s="1"/>
  <c r="H17" i="2"/>
  <c r="B18" i="3" s="1"/>
  <c r="N17" i="2"/>
  <c r="O17" i="2" s="1"/>
  <c r="E18" i="3" s="1"/>
  <c r="E17" i="2"/>
  <c r="D17" i="2"/>
  <c r="F17" i="2" s="1"/>
  <c r="M16" i="2"/>
  <c r="N16" i="2"/>
  <c r="O16" i="2" s="1"/>
  <c r="E17" i="3" s="1"/>
  <c r="D16" i="2"/>
  <c r="F16" i="2" s="1"/>
  <c r="E16" i="2"/>
  <c r="H16" i="2"/>
  <c r="B17" i="3" s="1"/>
  <c r="M15" i="2"/>
  <c r="H15" i="2"/>
  <c r="B16" i="3" s="1"/>
  <c r="N15" i="2"/>
  <c r="O15" i="2" s="1"/>
  <c r="E16" i="3" s="1"/>
  <c r="E15" i="2"/>
  <c r="D15" i="2"/>
  <c r="F15" i="2" s="1"/>
  <c r="M14" i="2"/>
  <c r="D14" i="2"/>
  <c r="E14" i="2"/>
  <c r="H14" i="2"/>
  <c r="B15" i="3" s="1"/>
  <c r="N14" i="2"/>
  <c r="O14" i="2" s="1"/>
  <c r="E15" i="3" s="1"/>
  <c r="M13" i="2"/>
  <c r="E13" i="2"/>
  <c r="H13" i="2"/>
  <c r="B14" i="3" s="1"/>
  <c r="N13" i="2"/>
  <c r="O13" i="2" s="1"/>
  <c r="E14" i="3" s="1"/>
  <c r="D13" i="2"/>
  <c r="M12" i="2"/>
  <c r="H12" i="2"/>
  <c r="B13" i="3" s="1"/>
  <c r="N12" i="2"/>
  <c r="O12" i="2" s="1"/>
  <c r="E13" i="3" s="1"/>
  <c r="E12" i="2"/>
  <c r="D12" i="2"/>
  <c r="F12" i="2" s="1"/>
  <c r="M11" i="2"/>
  <c r="E11" i="2"/>
  <c r="D11" i="2"/>
  <c r="F11" i="2" s="1"/>
  <c r="N11" i="2"/>
  <c r="O11" i="2" s="1"/>
  <c r="E12" i="3" s="1"/>
  <c r="H11" i="2"/>
  <c r="B12" i="3" s="1"/>
  <c r="M10" i="2"/>
  <c r="D10" i="2"/>
  <c r="N10" i="2"/>
  <c r="O10" i="2" s="1"/>
  <c r="E11" i="3" s="1"/>
  <c r="H10" i="2"/>
  <c r="B11" i="3" s="1"/>
  <c r="E10" i="2"/>
  <c r="M9" i="2"/>
  <c r="D9" i="2"/>
  <c r="H9" i="2"/>
  <c r="B10" i="3" s="1"/>
  <c r="E9" i="2"/>
  <c r="N9" i="2"/>
  <c r="O9" i="2" s="1"/>
  <c r="E10" i="3" s="1"/>
  <c r="M8" i="2"/>
  <c r="N8" i="2"/>
  <c r="O8" i="2" s="1"/>
  <c r="E9" i="3" s="1"/>
  <c r="H8" i="2"/>
  <c r="B9" i="3" s="1"/>
  <c r="E8" i="2"/>
  <c r="D8" i="2"/>
  <c r="F8" i="2" s="1"/>
  <c r="M7" i="2"/>
  <c r="D7" i="2"/>
  <c r="E7" i="2"/>
  <c r="H7" i="2"/>
  <c r="B8" i="3" s="1"/>
  <c r="N7" i="2"/>
  <c r="O7" i="2" s="1"/>
  <c r="E8" i="3" s="1"/>
  <c r="M6" i="2"/>
  <c r="N6" i="2"/>
  <c r="O6" i="2" s="1"/>
  <c r="E7" i="3" s="1"/>
  <c r="H6" i="2"/>
  <c r="B7" i="3" s="1"/>
  <c r="E6" i="2"/>
  <c r="D6" i="2"/>
  <c r="F6" i="2" s="1"/>
  <c r="M5" i="2"/>
  <c r="D5" i="2"/>
  <c r="F5" i="2" s="1"/>
  <c r="H5" i="2"/>
  <c r="B6" i="3" s="1"/>
  <c r="E5" i="2"/>
  <c r="N5" i="2"/>
  <c r="O5" i="2" s="1"/>
  <c r="E6" i="3" s="1"/>
  <c r="M4" i="2"/>
  <c r="D4" i="2"/>
  <c r="N4" i="2"/>
  <c r="O4" i="2" s="1"/>
  <c r="E5" i="3" s="1"/>
  <c r="E4" i="2"/>
  <c r="H18" i="3" l="1"/>
  <c r="C18" i="3"/>
  <c r="D17" i="3"/>
  <c r="I17" i="3"/>
  <c r="J17" i="3" s="1"/>
  <c r="D16" i="3"/>
  <c r="I16" i="3"/>
  <c r="J16" i="3" s="1"/>
  <c r="D13" i="3"/>
  <c r="I13" i="3"/>
  <c r="J13" i="3" s="1"/>
  <c r="D12" i="3"/>
  <c r="I12" i="3"/>
  <c r="J12" i="3" s="1"/>
  <c r="D9" i="3"/>
  <c r="I9" i="3"/>
  <c r="J9" i="3" s="1"/>
  <c r="D7" i="3"/>
  <c r="I7" i="3"/>
  <c r="J7" i="3" s="1"/>
  <c r="D6" i="3"/>
  <c r="I6" i="3"/>
  <c r="J6" i="3" s="1"/>
  <c r="F14" i="2"/>
  <c r="F13" i="2"/>
  <c r="F7" i="2"/>
  <c r="F10" i="2"/>
  <c r="F9" i="2"/>
  <c r="F4" i="2"/>
  <c r="C17" i="3"/>
  <c r="H17" i="3"/>
  <c r="C16" i="3"/>
  <c r="H16" i="3"/>
  <c r="C13" i="3"/>
  <c r="H13" i="3"/>
  <c r="C12" i="3"/>
  <c r="H12" i="3"/>
  <c r="C9" i="3"/>
  <c r="H9" i="3"/>
  <c r="C7" i="3"/>
  <c r="H7" i="3"/>
  <c r="C6" i="3"/>
  <c r="H6" i="3"/>
  <c r="H15" i="3" l="1"/>
  <c r="C15" i="3"/>
  <c r="H14" i="3"/>
  <c r="C14" i="3"/>
  <c r="H8" i="3"/>
  <c r="C8" i="3"/>
  <c r="H11" i="3"/>
  <c r="C11" i="3"/>
  <c r="H10" i="3"/>
  <c r="C10" i="3"/>
  <c r="H5" i="3"/>
  <c r="C5" i="3"/>
  <c r="I18" i="3"/>
  <c r="J18" i="3" s="1"/>
  <c r="D18" i="3"/>
  <c r="I15" i="3" l="1"/>
  <c r="J15" i="3" s="1"/>
  <c r="D15" i="3"/>
  <c r="I14" i="3"/>
  <c r="J14" i="3" s="1"/>
  <c r="D14" i="3"/>
  <c r="D8" i="3"/>
  <c r="I8" i="3"/>
  <c r="J8" i="3" s="1"/>
  <c r="I11" i="3"/>
  <c r="J11" i="3" s="1"/>
  <c r="D11" i="3"/>
  <c r="I10" i="3"/>
  <c r="J10" i="3" s="1"/>
  <c r="D10" i="3"/>
  <c r="I5" i="3"/>
  <c r="J5" i="3" s="1"/>
  <c r="D5" i="3"/>
</calcChain>
</file>

<file path=xl/sharedStrings.xml><?xml version="1.0" encoding="utf-8"?>
<sst xmlns="http://schemas.openxmlformats.org/spreadsheetml/2006/main" count="157" uniqueCount="121">
  <si>
    <t>EVA &amp; COMPOUNDER ANALYSIS - INPUT DATA</t>
  </si>
  <si>
    <t>CAPM ASSUMPTIONS</t>
  </si>
  <si>
    <t>Risk-Free Rate</t>
  </si>
  <si>
    <t>Market Risk Premium</t>
  </si>
  <si>
    <t>Company</t>
  </si>
  <si>
    <t>Period</t>
  </si>
  <si>
    <t>EBIT ($M)</t>
  </si>
  <si>
    <t>Net Income ($M)</t>
  </si>
  <si>
    <t>Equity ($M)</t>
  </si>
  <si>
    <t>Debt ($M)</t>
  </si>
  <si>
    <t>Total Assets ($M)</t>
  </si>
  <si>
    <t>Tax Rate</t>
  </si>
  <si>
    <t>Beta</t>
  </si>
  <si>
    <t>Cost of Debt</t>
  </si>
  <si>
    <t>Prev EBIT ($M)</t>
  </si>
  <si>
    <t>Prev Equity ($M)</t>
  </si>
  <si>
    <t>Prev Debt ($M)</t>
  </si>
  <si>
    <t>Prev Tax Rate</t>
  </si>
  <si>
    <t>Veeva (VEEV)</t>
  </si>
  <si>
    <t>FY2026 (Jan 2026)</t>
  </si>
  <si>
    <t>ServiceNow (NOW)</t>
  </si>
  <si>
    <t>FY2025 (Dec 2025)</t>
  </si>
  <si>
    <t>Intuit (INTU)</t>
  </si>
  <si>
    <t>FY2025 (Jul 2025)</t>
  </si>
  <si>
    <t>Adobe (ADBE)</t>
  </si>
  <si>
    <t>FY2025 (Nov 2025)</t>
  </si>
  <si>
    <t>Shopify (SHOP)</t>
  </si>
  <si>
    <t>Axon (AXON)</t>
  </si>
  <si>
    <t>BillionToOne (BLLN)</t>
  </si>
  <si>
    <t>Intuitive Surgical (ISRG)</t>
  </si>
  <si>
    <t>Eli Lilly (LLY)</t>
  </si>
  <si>
    <t>Palantir (PLTR)</t>
  </si>
  <si>
    <t>Tesla (TSLA)</t>
  </si>
  <si>
    <t>Constellation Software (CSU)</t>
  </si>
  <si>
    <t>Samsara (IOT)</t>
  </si>
  <si>
    <t>Comfort Systems (FIX)</t>
  </si>
  <si>
    <t>EVA &amp; COMPOUNDER CALCULATIONS</t>
  </si>
  <si>
    <t>Cost of Equity</t>
  </si>
  <si>
    <t>Capital Invested ($M)</t>
  </si>
  <si>
    <t>Equity Weight</t>
  </si>
  <si>
    <t>Debt Weight</t>
  </si>
  <si>
    <t>WACC</t>
  </si>
  <si>
    <t>NOPAT ($M)</t>
  </si>
  <si>
    <t>ROIC</t>
  </si>
  <si>
    <t>ROE</t>
  </si>
  <si>
    <t>ROA</t>
  </si>
  <si>
    <t>Prev NOPAT ($M)</t>
  </si>
  <si>
    <t>Prev Capital ($M)</t>
  </si>
  <si>
    <t>Delta NOPAT ($M)</t>
  </si>
  <si>
    <t>Delta Capital ($M)</t>
  </si>
  <si>
    <t>ROIIC</t>
  </si>
  <si>
    <t>EVA &amp; COMPOUNDER DASHBOARD</t>
  </si>
  <si>
    <t>Data as of March 13, 2026 | Most recent fiscal year for each company</t>
  </si>
  <si>
    <t>ROIC-WACC</t>
  </si>
  <si>
    <t>EVA ($M)</t>
  </si>
  <si>
    <t>Score</t>
  </si>
  <si>
    <t>Assessment</t>
  </si>
  <si>
    <t>VEEVA SYSTEMS (VEEV) - PROJECTED EVA: FY2025 to FY2030</t>
  </si>
  <si>
    <t>Assumptions:</t>
  </si>
  <si>
    <t xml:space="preserve">  - Salesforce royalties (~$120M/yr) fully eliminated by FY2027</t>
  </si>
  <si>
    <t xml:space="preserve">  - AI agent revenue begins FY2028, scales through FY2030</t>
  </si>
  <si>
    <t xml:space="preserve">  - Management target: $6B revenue by 2030, 35%+ operating margin</t>
  </si>
  <si>
    <t xml:space="preserve">  - Beta declines as business matures (1.10 -&gt; 1.00)</t>
  </si>
  <si>
    <t xml:space="preserve">  - Debt remains at $0 (Veeva has no debt)</t>
  </si>
  <si>
    <t>Year</t>
  </si>
  <si>
    <t>Revenue ($M)</t>
  </si>
  <si>
    <t>EBIT Margin</t>
  </si>
  <si>
    <t>Verdict</t>
  </si>
  <si>
    <t>FY2025 (Actual)</t>
  </si>
  <si>
    <t>FY2026 (Actual)</t>
  </si>
  <si>
    <t>FY2027 (Guided)</t>
  </si>
  <si>
    <t>FY2028 (Projected)</t>
  </si>
  <si>
    <t>FY2029 (Projected)</t>
  </si>
  <si>
    <t>FY2030 (Target)</t>
  </si>
  <si>
    <t>FORMULAS &amp; DEFINITIONS GUIDE</t>
  </si>
  <si>
    <t>Metric</t>
  </si>
  <si>
    <t>Description</t>
  </si>
  <si>
    <t>Formula</t>
  </si>
  <si>
    <t>NOPAT</t>
  </si>
  <si>
    <t>Net Operating Profit After Tax</t>
  </si>
  <si>
    <t>EBIT x (1 - Tax Rate)</t>
  </si>
  <si>
    <t>Capital Invested</t>
  </si>
  <si>
    <t>Total capital used to run business</t>
  </si>
  <si>
    <t>Equity + Interest-Bearing Debt</t>
  </si>
  <si>
    <t>Weighted Average Cost of Capital</t>
  </si>
  <si>
    <t>(Eq% x Cost of Equity) + (Debt% x Cost of Debt x (1-Tax))</t>
  </si>
  <si>
    <t>Return equity investors demand (CAPM)</t>
  </si>
  <si>
    <t>Risk-Free Rate + Beta x Market Risk Premium</t>
  </si>
  <si>
    <t>Return on Invested Capital</t>
  </si>
  <si>
    <t>NOPAT / Capital Invested</t>
  </si>
  <si>
    <t>EVA</t>
  </si>
  <si>
    <t>Economic Value Added</t>
  </si>
  <si>
    <t>NOPAT - (Capital Invested x WACC)</t>
  </si>
  <si>
    <t>Return on Equity</t>
  </si>
  <si>
    <t>Net Income / Shareholders Equity</t>
  </si>
  <si>
    <t>Return on Assets</t>
  </si>
  <si>
    <t>Net Income / Total Assets</t>
  </si>
  <si>
    <t>Return on Incremental Invested Capital</t>
  </si>
  <si>
    <t>Change in NOPAT / Change in Capital Invested</t>
  </si>
  <si>
    <t>ROIC-WACC Spread</t>
  </si>
  <si>
    <t>Value creation signal</t>
  </si>
  <si>
    <t>ROIC - WACC (positive = creating value)</t>
  </si>
  <si>
    <t>COMPOUNDER SCORING (5 points possible):</t>
  </si>
  <si>
    <t>Points</t>
  </si>
  <si>
    <t>Criteria</t>
  </si>
  <si>
    <t>What It Means</t>
  </si>
  <si>
    <t>1 point</t>
  </si>
  <si>
    <t>ROIC &gt; WACC</t>
  </si>
  <si>
    <t>Company earns above its cost of capital</t>
  </si>
  <si>
    <t>ROIC &gt; 15%</t>
  </si>
  <si>
    <t>High absolute return on capital</t>
  </si>
  <si>
    <t>ROIIC &gt; WACC</t>
  </si>
  <si>
    <t>Reinvesting incremental capital at returns above cost</t>
  </si>
  <si>
    <t>ROE &gt; 15%</t>
  </si>
  <si>
    <t>Strong return to equity holders</t>
  </si>
  <si>
    <t>EVA &gt; 0</t>
  </si>
  <si>
    <t>Creating economic value in absolute dollars</t>
  </si>
  <si>
    <t>Score 4-5: COMPOUNDER</t>
  </si>
  <si>
    <t>Score 2-3: POTENTIAL COMPOUNDER</t>
  </si>
  <si>
    <t>Score 0-1: NOT YET A COMPOUNDER</t>
  </si>
  <si>
    <t>Source: Based on "Forget ROE. This Is the Metric That Actually Matters" - Jimmy's Journal,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</si>
</sst>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\$#,##0.0"/>
    <numFmt numFmtId="166" formatCode="0.0%"/>
    <numFmt numFmtId="167" formatCode="\+0.0%;\-0.0%"/>
    <numFmt numFmtId="168" formatCode="\$#,##0;\(\$#,##0\);&quot;-&quot;"/>
    <numFmt numFmtId="169" formatCode="\$#,##0;\(\$#,##0\)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1F4E79"/>
      <name val="Arial"/>
    </font>
    <font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008000"/>
      <name val="Arial"/>
    </font>
    <font>
      <i/>
      <sz val="9"/>
      <color rgb="FF666666"/>
      <name val="Arial"/>
    </font>
    <font>
      <sz val="9"/>
      <color rgb="FF444444"/>
      <name val="Arial"/>
    </font>
    <font>
      <b/>
      <sz val="10"/>
      <color rgb="FF008000"/>
      <name val="Arial"/>
    </font>
    <font>
      <b/>
      <sz val="10"/>
      <color rgb="FFFF8C00"/>
      <name val="Arial"/>
    </font>
    <font>
      <b/>
      <sz val="10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/>
    <xf numFmtId="0" fontId="5" fillId="0" borderId="0" xfId="0" applyFont="1"/>
    <xf numFmtId="10" fontId="3" fillId="3" borderId="0" xfId="0" applyNumberFormat="1" applyFont="1" applyFill="1"/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0" fontId="7" fillId="5" borderId="1" xfId="0" applyFont="1" applyFill="1" applyBorder="1"/>
    <xf numFmtId="10" fontId="5" fillId="5" borderId="1" xfId="0" applyNumberFormat="1" applyFont="1" applyFill="1" applyBorder="1"/>
    <xf numFmtId="164" fontId="5" fillId="5" borderId="1" xfId="0" applyNumberFormat="1" applyFont="1" applyFill="1" applyBorder="1"/>
    <xf numFmtId="166" fontId="5" fillId="5" borderId="1" xfId="0" applyNumberFormat="1" applyFont="1" applyFill="1" applyBorder="1"/>
    <xf numFmtId="0" fontId="7" fillId="0" borderId="1" xfId="0" applyFont="1" applyBorder="1"/>
    <xf numFmtId="10" fontId="5" fillId="0" borderId="1" xfId="0" applyNumberFormat="1" applyFont="1" applyBorder="1"/>
    <xf numFmtId="164" fontId="5" fillId="0" borderId="1" xfId="0" applyNumberFormat="1" applyFont="1" applyBorder="1"/>
    <xf numFmtId="166" fontId="5" fillId="0" borderId="1" xfId="0" applyNumberFormat="1" applyFont="1" applyBorder="1"/>
    <xf numFmtId="0" fontId="8" fillId="0" borderId="0" xfId="0" applyFont="1"/>
    <xf numFmtId="0" fontId="6" fillId="2" borderId="1" xfId="0" applyFont="1" applyFill="1" applyBorder="1" applyAlignment="1">
      <alignment horizontal="center" vertical="center" wrapText="1"/>
    </xf>
    <xf numFmtId="167" fontId="4" fillId="0" borderId="1" xfId="0" applyNumberFormat="1" applyFont="1" applyBorder="1"/>
    <xf numFmtId="168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2" fillId="0" borderId="0" xfId="0" applyFont="1"/>
    <xf numFmtId="0" fontId="9" fillId="0" borderId="0" xfId="0" applyFont="1"/>
    <xf numFmtId="0" fontId="4" fillId="0" borderId="1" xfId="0" applyFont="1" applyBorder="1"/>
    <xf numFmtId="164" fontId="3" fillId="3" borderId="1" xfId="0" applyNumberFormat="1" applyFont="1" applyFill="1" applyBorder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2" fontId="3" fillId="3" borderId="1" xfId="0" applyNumberFormat="1" applyFont="1" applyFill="1" applyBorder="1"/>
    <xf numFmtId="169" fontId="4" fillId="0" borderId="1" xfId="0" applyNumberFormat="1" applyFont="1" applyBorder="1"/>
    <xf numFmtId="0" fontId="4" fillId="5" borderId="1" xfId="0" applyFont="1" applyFill="1" applyBorder="1"/>
    <xf numFmtId="166" fontId="3" fillId="5" borderId="1" xfId="0" applyNumberFormat="1" applyFont="1" applyFill="1" applyBorder="1"/>
    <xf numFmtId="167" fontId="4" fillId="5" borderId="1" xfId="0" applyNumberFormat="1" applyFont="1" applyFill="1" applyBorder="1"/>
    <xf numFmtId="169" fontId="4" fillId="5" borderId="1" xfId="0" applyNumberFormat="1" applyFont="1" applyFill="1" applyBorder="1"/>
    <xf numFmtId="0" fontId="6" fillId="4" borderId="1" xfId="0" applyFont="1" applyFill="1" applyBorder="1"/>
    <xf numFmtId="0" fontId="5" fillId="5" borderId="1" xfId="0" applyFont="1" applyFill="1" applyBorder="1"/>
    <xf numFmtId="0" fontId="5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P21"/>
  <sheetViews>
    <sheetView tabSelected="1" topLeftCell="B1" workbookViewId="0">
      <selection sqref="A1:P1"/>
    </sheetView>
  </sheetViews>
  <sheetFormatPr defaultRowHeight="14.4" x14ac:dyDescent="0.3"/>
  <cols>
    <col min="1" max="1" width="30" customWidth="1"/>
    <col min="2" max="2" width="22" customWidth="1"/>
    <col min="3" max="3" width="14" customWidth="1"/>
    <col min="4" max="4" width="16" customWidth="1"/>
    <col min="5" max="6" width="14" customWidth="1"/>
    <col min="7" max="7" width="16" customWidth="1"/>
    <col min="8" max="8" width="12" customWidth="1"/>
    <col min="9" max="9" width="10" customWidth="1"/>
    <col min="10" max="10" width="13" customWidth="1"/>
    <col min="11" max="12" width="15" customWidth="1"/>
    <col min="13" max="14" width="14" customWidth="1"/>
  </cols>
  <sheetData>
    <row r="1" spans="1:16" ht="17.399999999999999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3" spans="1:16" x14ac:dyDescent="0.3">
      <c r="A3" s="1" t="s">
        <v>1</v>
      </c>
    </row>
    <row r="4" spans="1:16" x14ac:dyDescent="0.3">
      <c r="A4" s="2" t="s">
        <v>2</v>
      </c>
      <c r="B4" s="3">
        <v>4.2500000000000003E-2</v>
      </c>
    </row>
    <row r="5" spans="1:16" x14ac:dyDescent="0.3">
      <c r="A5" s="2" t="s">
        <v>3</v>
      </c>
      <c r="B5" s="3">
        <v>5.5E-2</v>
      </c>
    </row>
    <row r="7" spans="1:16" ht="26.4" x14ac:dyDescent="0.3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</row>
    <row r="8" spans="1:16" x14ac:dyDescent="0.3">
      <c r="A8" s="5" t="s">
        <v>18</v>
      </c>
      <c r="B8" s="6" t="s">
        <v>19</v>
      </c>
      <c r="C8" s="7">
        <v>1438</v>
      </c>
      <c r="D8" s="7">
        <v>1121</v>
      </c>
      <c r="E8" s="7">
        <v>6500</v>
      </c>
      <c r="F8" s="8">
        <v>0</v>
      </c>
      <c r="G8" s="7">
        <v>8500</v>
      </c>
      <c r="H8" s="9">
        <v>0.22</v>
      </c>
      <c r="I8" s="9">
        <v>1.08</v>
      </c>
      <c r="J8" s="9">
        <v>0</v>
      </c>
      <c r="K8" s="7">
        <v>691.4</v>
      </c>
      <c r="L8" s="7">
        <v>5832</v>
      </c>
      <c r="M8" s="8">
        <v>0</v>
      </c>
      <c r="N8" s="9">
        <v>0.223</v>
      </c>
    </row>
    <row r="9" spans="1:16" x14ac:dyDescent="0.3">
      <c r="A9" s="10" t="s">
        <v>20</v>
      </c>
      <c r="B9" s="11" t="s">
        <v>21</v>
      </c>
      <c r="C9" s="12">
        <v>1824</v>
      </c>
      <c r="D9" s="12">
        <v>1748</v>
      </c>
      <c r="E9" s="12">
        <v>12964</v>
      </c>
      <c r="F9" s="12">
        <v>1491</v>
      </c>
      <c r="G9" s="12">
        <v>26038</v>
      </c>
      <c r="H9" s="13">
        <v>0.22700000000000001</v>
      </c>
      <c r="I9" s="13">
        <v>0.97</v>
      </c>
      <c r="J9" s="13">
        <v>1.5299999999999999E-2</v>
      </c>
      <c r="K9" s="12">
        <v>1364</v>
      </c>
      <c r="L9" s="12">
        <v>9609</v>
      </c>
      <c r="M9" s="12">
        <v>2278</v>
      </c>
      <c r="N9" s="13">
        <v>0.18</v>
      </c>
    </row>
    <row r="10" spans="1:16" x14ac:dyDescent="0.3">
      <c r="A10" s="5" t="s">
        <v>22</v>
      </c>
      <c r="B10" s="6" t="s">
        <v>23</v>
      </c>
      <c r="C10" s="7">
        <v>4923</v>
      </c>
      <c r="D10" s="7">
        <v>3869</v>
      </c>
      <c r="E10" s="7">
        <v>19710</v>
      </c>
      <c r="F10" s="7">
        <v>5973</v>
      </c>
      <c r="G10" s="7">
        <v>36958</v>
      </c>
      <c r="H10" s="9">
        <v>0.2</v>
      </c>
      <c r="I10" s="9">
        <v>1.28</v>
      </c>
      <c r="J10" s="9">
        <v>4.8000000000000001E-2</v>
      </c>
      <c r="K10" s="7">
        <v>3630</v>
      </c>
      <c r="L10" s="7">
        <v>18436</v>
      </c>
      <c r="M10" s="7">
        <v>6038</v>
      </c>
      <c r="N10" s="9">
        <v>0.17</v>
      </c>
    </row>
    <row r="11" spans="1:16" x14ac:dyDescent="0.3">
      <c r="A11" s="10" t="s">
        <v>24</v>
      </c>
      <c r="B11" s="11" t="s">
        <v>25</v>
      </c>
      <c r="C11" s="12">
        <v>8706</v>
      </c>
      <c r="D11" s="12">
        <v>7130</v>
      </c>
      <c r="E11" s="12">
        <v>11623</v>
      </c>
      <c r="F11" s="12">
        <v>6210</v>
      </c>
      <c r="G11" s="12">
        <v>29496</v>
      </c>
      <c r="H11" s="13">
        <v>0.184</v>
      </c>
      <c r="I11" s="13">
        <v>1.53</v>
      </c>
      <c r="J11" s="13">
        <v>4.24E-2</v>
      </c>
      <c r="K11" s="12">
        <v>6741</v>
      </c>
      <c r="L11" s="12">
        <v>14105</v>
      </c>
      <c r="M11" s="12">
        <v>5628</v>
      </c>
      <c r="N11" s="13">
        <v>0.19800000000000001</v>
      </c>
    </row>
    <row r="12" spans="1:16" x14ac:dyDescent="0.3">
      <c r="A12" s="5" t="s">
        <v>26</v>
      </c>
      <c r="B12" s="6" t="s">
        <v>21</v>
      </c>
      <c r="C12" s="7">
        <v>1468</v>
      </c>
      <c r="D12" s="7">
        <v>1231</v>
      </c>
      <c r="E12" s="7">
        <v>13473</v>
      </c>
      <c r="F12" s="7">
        <v>188</v>
      </c>
      <c r="G12" s="7">
        <v>15189</v>
      </c>
      <c r="H12" s="9">
        <v>0.184</v>
      </c>
      <c r="I12" s="9">
        <v>2.82</v>
      </c>
      <c r="J12" s="9">
        <v>4.4999999999999998E-2</v>
      </c>
      <c r="K12" s="7">
        <v>1075</v>
      </c>
      <c r="L12" s="7">
        <v>11558</v>
      </c>
      <c r="M12" s="7">
        <v>918</v>
      </c>
      <c r="N12" s="9">
        <v>9.4E-2</v>
      </c>
    </row>
    <row r="13" spans="1:16" x14ac:dyDescent="0.3">
      <c r="A13" s="10" t="s">
        <v>27</v>
      </c>
      <c r="B13" s="11" t="s">
        <v>21</v>
      </c>
      <c r="C13" s="14">
        <v>-62.1</v>
      </c>
      <c r="D13" s="12">
        <v>124.7</v>
      </c>
      <c r="E13" s="12">
        <v>3243</v>
      </c>
      <c r="F13" s="12">
        <v>1811</v>
      </c>
      <c r="G13" s="12">
        <v>7000</v>
      </c>
      <c r="H13" s="13">
        <v>0.21</v>
      </c>
      <c r="I13" s="13">
        <v>1.52</v>
      </c>
      <c r="J13" s="13">
        <v>5.1999999999999998E-2</v>
      </c>
      <c r="K13" s="14">
        <v>58.5</v>
      </c>
      <c r="L13" s="12">
        <v>2328</v>
      </c>
      <c r="M13" s="12">
        <v>690</v>
      </c>
      <c r="N13" s="13">
        <v>1.2E-2</v>
      </c>
    </row>
    <row r="14" spans="1:16" x14ac:dyDescent="0.3">
      <c r="A14" s="5" t="s">
        <v>28</v>
      </c>
      <c r="B14" s="6" t="s">
        <v>21</v>
      </c>
      <c r="C14" s="8">
        <v>16</v>
      </c>
      <c r="D14" s="8">
        <v>2.9</v>
      </c>
      <c r="E14" s="7">
        <v>480.1</v>
      </c>
      <c r="F14" s="8">
        <v>52.5</v>
      </c>
      <c r="G14" s="7">
        <v>600</v>
      </c>
      <c r="H14" s="9">
        <v>0.04</v>
      </c>
      <c r="I14" s="9">
        <v>1.34</v>
      </c>
      <c r="J14" s="9">
        <v>0.08</v>
      </c>
      <c r="K14" s="8">
        <v>-47.15</v>
      </c>
      <c r="L14" s="7">
        <v>168</v>
      </c>
      <c r="M14" s="7">
        <v>109</v>
      </c>
      <c r="N14" s="9">
        <v>0.04</v>
      </c>
    </row>
    <row r="15" spans="1:16" x14ac:dyDescent="0.3">
      <c r="A15" s="10" t="s">
        <v>29</v>
      </c>
      <c r="B15" s="11" t="s">
        <v>21</v>
      </c>
      <c r="C15" s="12">
        <v>2949</v>
      </c>
      <c r="D15" s="12">
        <v>2900</v>
      </c>
      <c r="E15" s="12">
        <v>17942</v>
      </c>
      <c r="F15" s="14">
        <v>0</v>
      </c>
      <c r="G15" s="12">
        <v>20459</v>
      </c>
      <c r="H15" s="13">
        <v>0.215</v>
      </c>
      <c r="I15" s="13">
        <v>1.69</v>
      </c>
      <c r="J15" s="13">
        <v>0</v>
      </c>
      <c r="K15" s="12">
        <v>1767</v>
      </c>
      <c r="L15" s="12">
        <v>13397</v>
      </c>
      <c r="M15" s="14">
        <v>0</v>
      </c>
      <c r="N15" s="13">
        <v>0.1258</v>
      </c>
    </row>
    <row r="16" spans="1:16" x14ac:dyDescent="0.3">
      <c r="A16" s="5" t="s">
        <v>30</v>
      </c>
      <c r="B16" s="6" t="s">
        <v>21</v>
      </c>
      <c r="C16" s="7">
        <v>28300</v>
      </c>
      <c r="D16" s="7">
        <v>20600</v>
      </c>
      <c r="E16" s="7">
        <v>26535</v>
      </c>
      <c r="F16" s="7">
        <v>42510</v>
      </c>
      <c r="G16" s="7">
        <v>112476</v>
      </c>
      <c r="H16" s="9">
        <v>0.19</v>
      </c>
      <c r="I16" s="9">
        <v>0.43</v>
      </c>
      <c r="J16" s="9">
        <v>2.5999999999999999E-2</v>
      </c>
      <c r="K16" s="7">
        <v>12899</v>
      </c>
      <c r="L16" s="7">
        <v>14272</v>
      </c>
      <c r="M16" s="7">
        <v>33644</v>
      </c>
      <c r="N16" s="9">
        <v>0.16500000000000001</v>
      </c>
    </row>
    <row r="17" spans="1:14" x14ac:dyDescent="0.3">
      <c r="A17" s="10" t="s">
        <v>31</v>
      </c>
      <c r="B17" s="11" t="s">
        <v>21</v>
      </c>
      <c r="C17" s="12">
        <v>1414</v>
      </c>
      <c r="D17" s="12">
        <v>1625</v>
      </c>
      <c r="E17" s="12">
        <v>7500</v>
      </c>
      <c r="F17" s="14">
        <v>0</v>
      </c>
      <c r="G17" s="12">
        <v>8900</v>
      </c>
      <c r="H17" s="13">
        <v>1.4999999999999999E-2</v>
      </c>
      <c r="I17" s="13">
        <v>1.69</v>
      </c>
      <c r="J17" s="13">
        <v>0</v>
      </c>
      <c r="K17" s="12">
        <v>310.39999999999998</v>
      </c>
      <c r="L17" s="12">
        <v>5094</v>
      </c>
      <c r="M17" s="14">
        <v>0</v>
      </c>
      <c r="N17" s="13">
        <v>4.3499999999999997E-2</v>
      </c>
    </row>
    <row r="18" spans="1:14" x14ac:dyDescent="0.3">
      <c r="A18" s="5" t="s">
        <v>32</v>
      </c>
      <c r="B18" s="6" t="s">
        <v>21</v>
      </c>
      <c r="C18" s="7">
        <v>4355</v>
      </c>
      <c r="D18" s="7">
        <v>3794</v>
      </c>
      <c r="E18" s="7">
        <v>82900</v>
      </c>
      <c r="F18" s="7">
        <v>1800</v>
      </c>
      <c r="G18" s="7">
        <v>137806</v>
      </c>
      <c r="H18" s="9">
        <v>0.27</v>
      </c>
      <c r="I18" s="9">
        <v>2.0699999999999998</v>
      </c>
      <c r="J18" s="9">
        <v>2.5000000000000001E-2</v>
      </c>
      <c r="K18" s="7">
        <v>8891</v>
      </c>
      <c r="L18" s="7">
        <v>72913</v>
      </c>
      <c r="M18" s="7">
        <v>7878</v>
      </c>
      <c r="N18" s="9">
        <v>0.20399999999999999</v>
      </c>
    </row>
    <row r="19" spans="1:14" x14ac:dyDescent="0.3">
      <c r="A19" s="10" t="s">
        <v>33</v>
      </c>
      <c r="B19" s="11" t="s">
        <v>21</v>
      </c>
      <c r="C19" s="12">
        <v>1895</v>
      </c>
      <c r="D19" s="12">
        <v>512</v>
      </c>
      <c r="E19" s="12">
        <v>4267</v>
      </c>
      <c r="F19" s="12">
        <v>4554</v>
      </c>
      <c r="G19" s="12">
        <v>16171</v>
      </c>
      <c r="H19" s="13">
        <v>0.376</v>
      </c>
      <c r="I19" s="13">
        <v>0.72</v>
      </c>
      <c r="J19" s="13">
        <v>5.1999999999999998E-2</v>
      </c>
      <c r="K19" s="12">
        <v>1463</v>
      </c>
      <c r="L19" s="12">
        <v>3288</v>
      </c>
      <c r="M19" s="12">
        <v>4166</v>
      </c>
      <c r="N19" s="13">
        <v>0.24099999999999999</v>
      </c>
    </row>
    <row r="20" spans="1:14" x14ac:dyDescent="0.3">
      <c r="A20" s="5" t="s">
        <v>34</v>
      </c>
      <c r="B20" s="6" t="s">
        <v>19</v>
      </c>
      <c r="C20" s="8">
        <v>-52.6</v>
      </c>
      <c r="D20" s="8">
        <v>-9.1</v>
      </c>
      <c r="E20" s="7">
        <v>1420</v>
      </c>
      <c r="F20" s="8">
        <v>72.8</v>
      </c>
      <c r="G20" s="7">
        <v>2541</v>
      </c>
      <c r="H20" s="9">
        <v>0</v>
      </c>
      <c r="I20" s="9">
        <v>1.62</v>
      </c>
      <c r="J20" s="9">
        <v>0</v>
      </c>
      <c r="K20" s="7">
        <v>-190</v>
      </c>
      <c r="L20" s="7">
        <v>1069</v>
      </c>
      <c r="M20" s="8">
        <v>0</v>
      </c>
      <c r="N20" s="9">
        <v>0</v>
      </c>
    </row>
    <row r="21" spans="1:14" x14ac:dyDescent="0.3">
      <c r="A21" s="10" t="s">
        <v>35</v>
      </c>
      <c r="B21" s="11" t="s">
        <v>21</v>
      </c>
      <c r="C21" s="12">
        <v>1315</v>
      </c>
      <c r="D21" s="12">
        <v>1023</v>
      </c>
      <c r="E21" s="12">
        <v>2449</v>
      </c>
      <c r="F21" s="12">
        <v>145</v>
      </c>
      <c r="G21" s="12">
        <v>6441</v>
      </c>
      <c r="H21" s="13">
        <v>0.20899999999999999</v>
      </c>
      <c r="I21" s="13">
        <v>1.58</v>
      </c>
      <c r="J21" s="13">
        <v>6.2E-2</v>
      </c>
      <c r="K21" s="12">
        <v>749.4</v>
      </c>
      <c r="L21" s="12">
        <v>1705</v>
      </c>
      <c r="M21" s="14">
        <v>68.3</v>
      </c>
      <c r="N21" s="13">
        <v>0.2162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O17"/>
  <sheetViews>
    <sheetView workbookViewId="0">
      <selection sqref="A1:O1"/>
    </sheetView>
  </sheetViews>
  <sheetFormatPr defaultRowHeight="14.4" x14ac:dyDescent="0.3"/>
  <cols>
    <col min="1" max="1" width="30" customWidth="1"/>
    <col min="2" max="2" width="14" customWidth="1"/>
    <col min="3" max="3" width="18" customWidth="1"/>
    <col min="4" max="4" width="13" customWidth="1"/>
    <col min="5" max="5" width="12" customWidth="1"/>
    <col min="6" max="6" width="10" customWidth="1"/>
    <col min="7" max="7" width="14" customWidth="1"/>
    <col min="8" max="10" width="10" customWidth="1"/>
    <col min="11" max="12" width="15" customWidth="1"/>
    <col min="13" max="14" width="16" customWidth="1"/>
    <col min="15" max="15" width="10" customWidth="1"/>
  </cols>
  <sheetData>
    <row r="1" spans="1:15" ht="17.399999999999999" x14ac:dyDescent="0.3">
      <c r="A1" s="46" t="s">
        <v>36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3" spans="1:15" ht="26.4" x14ac:dyDescent="0.3">
      <c r="A3" s="4" t="s">
        <v>4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4" t="s">
        <v>47</v>
      </c>
      <c r="M3" s="4" t="s">
        <v>48</v>
      </c>
      <c r="N3" s="4" t="s">
        <v>49</v>
      </c>
      <c r="O3" s="4" t="s">
        <v>50</v>
      </c>
    </row>
    <row r="4" spans="1:15" x14ac:dyDescent="0.3">
      <c r="A4" s="15" t="str">
        <f>Inputs!A8</f>
        <v>Veeva (VEEV)</v>
      </c>
      <c r="B4" s="16">
        <f>Inputs!$B$4+Inputs!I8*Inputs!$B$5</f>
        <v>0.1019</v>
      </c>
      <c r="C4" s="17">
        <f>Inputs!E8+Inputs!F8</f>
        <v>6500</v>
      </c>
      <c r="D4" s="18">
        <f>IF(C4=0,0,Inputs!E8/C4)</f>
        <v>1</v>
      </c>
      <c r="E4" s="18">
        <f>IF(C4=0,0,Inputs!F8/C4)</f>
        <v>0</v>
      </c>
      <c r="F4" s="16">
        <f>D4*B4+E4*Inputs!J8*(1-Inputs!H8)</f>
        <v>0.1019</v>
      </c>
      <c r="G4" s="17">
        <f>Inputs!C8*(1-Inputs!H8)</f>
        <v>1121.6400000000001</v>
      </c>
      <c r="H4" s="16">
        <f t="shared" ref="H4:H17" si="0">IF(C4=0,0,G4/C4)</f>
        <v>0.17256000000000002</v>
      </c>
      <c r="I4" s="16">
        <f>IF(Inputs!E8=0,0,Inputs!D8/Inputs!E8)</f>
        <v>0.17246153846153847</v>
      </c>
      <c r="J4" s="16">
        <f>IF(Inputs!G8=0,0,Inputs!D8/Inputs!G8)</f>
        <v>0.13188235294117648</v>
      </c>
      <c r="K4" s="17">
        <f>Inputs!K8*(1-Inputs!N8)</f>
        <v>537.21780000000001</v>
      </c>
      <c r="L4" s="17">
        <f>Inputs!L8+Inputs!M8</f>
        <v>5832</v>
      </c>
      <c r="M4" s="17">
        <f t="shared" ref="M4:M17" si="1">G4-K4</f>
        <v>584.42220000000009</v>
      </c>
      <c r="N4" s="17">
        <f t="shared" ref="N4:N17" si="2">C4-L4</f>
        <v>668</v>
      </c>
      <c r="O4" s="18">
        <f t="shared" ref="O4:O17" si="3">IF(ABS(N4)&lt;10,"N/M",M4/N4)</f>
        <v>0.8748835329341319</v>
      </c>
    </row>
    <row r="5" spans="1:15" x14ac:dyDescent="0.3">
      <c r="A5" s="19" t="str">
        <f>Inputs!A9</f>
        <v>ServiceNow (NOW)</v>
      </c>
      <c r="B5" s="20">
        <f>Inputs!$B$4+Inputs!I9*Inputs!$B$5</f>
        <v>9.5850000000000005E-2</v>
      </c>
      <c r="C5" s="21">
        <f>Inputs!E9+Inputs!F9</f>
        <v>14455</v>
      </c>
      <c r="D5" s="22">
        <f>IF(C5=0,0,Inputs!E9/C5)</f>
        <v>0.8968523002421307</v>
      </c>
      <c r="E5" s="22">
        <f>IF(C5=0,0,Inputs!F9/C5)</f>
        <v>0.10314769975786925</v>
      </c>
      <c r="F5" s="20">
        <f>D5*B5+E5*Inputs!J9*(1-Inputs!H9)</f>
        <v>8.7183210508474579E-2</v>
      </c>
      <c r="G5" s="21">
        <f>Inputs!C9*(1-Inputs!H9)</f>
        <v>1409.952</v>
      </c>
      <c r="H5" s="20">
        <f t="shared" si="0"/>
        <v>9.7540781736423388E-2</v>
      </c>
      <c r="I5" s="20">
        <f>IF(Inputs!E9=0,0,Inputs!D9/Inputs!E9)</f>
        <v>0.13483492749151496</v>
      </c>
      <c r="J5" s="20">
        <f>IF(Inputs!G9=0,0,Inputs!D9/Inputs!G9)</f>
        <v>6.7132652277440669E-2</v>
      </c>
      <c r="K5" s="21">
        <f>Inputs!K9*(1-Inputs!N9)</f>
        <v>1118.48</v>
      </c>
      <c r="L5" s="21">
        <f>Inputs!L9+Inputs!M9</f>
        <v>11887</v>
      </c>
      <c r="M5" s="21">
        <f t="shared" si="1"/>
        <v>291.47199999999998</v>
      </c>
      <c r="N5" s="21">
        <f t="shared" si="2"/>
        <v>2568</v>
      </c>
      <c r="O5" s="22">
        <f t="shared" si="3"/>
        <v>0.11350155763239875</v>
      </c>
    </row>
    <row r="6" spans="1:15" x14ac:dyDescent="0.3">
      <c r="A6" s="15" t="str">
        <f>Inputs!A10</f>
        <v>Intuit (INTU)</v>
      </c>
      <c r="B6" s="16">
        <f>Inputs!$B$4+Inputs!I10*Inputs!$B$5</f>
        <v>0.1129</v>
      </c>
      <c r="C6" s="17">
        <f>Inputs!E10+Inputs!F10</f>
        <v>25683</v>
      </c>
      <c r="D6" s="18">
        <f>IF(C6=0,0,Inputs!E10/C6)</f>
        <v>0.7674337110150683</v>
      </c>
      <c r="E6" s="18">
        <f>IF(C6=0,0,Inputs!F10/C6)</f>
        <v>0.23256628898493167</v>
      </c>
      <c r="F6" s="16">
        <f>D6*B6+E6*Inputs!J10*(1-Inputs!H10)</f>
        <v>9.5573811470622591E-2</v>
      </c>
      <c r="G6" s="17">
        <f>Inputs!C10*(1-Inputs!H10)</f>
        <v>3938.4</v>
      </c>
      <c r="H6" s="16">
        <f t="shared" si="0"/>
        <v>0.15334657166218901</v>
      </c>
      <c r="I6" s="16">
        <f>IF(Inputs!E10=0,0,Inputs!D10/Inputs!E10)</f>
        <v>0.1962962962962963</v>
      </c>
      <c r="J6" s="16">
        <f>IF(Inputs!G10=0,0,Inputs!D10/Inputs!G10)</f>
        <v>0.10468640077926294</v>
      </c>
      <c r="K6" s="17">
        <f>Inputs!K10*(1-Inputs!N10)</f>
        <v>3012.8999999999996</v>
      </c>
      <c r="L6" s="17">
        <f>Inputs!L10+Inputs!M10</f>
        <v>24474</v>
      </c>
      <c r="M6" s="17">
        <f t="shared" si="1"/>
        <v>925.50000000000045</v>
      </c>
      <c r="N6" s="17">
        <f t="shared" si="2"/>
        <v>1209</v>
      </c>
      <c r="O6" s="18">
        <f t="shared" si="3"/>
        <v>0.76550868486352397</v>
      </c>
    </row>
    <row r="7" spans="1:15" x14ac:dyDescent="0.3">
      <c r="A7" s="19" t="str">
        <f>Inputs!A11</f>
        <v>Adobe (ADBE)</v>
      </c>
      <c r="B7" s="20">
        <f>Inputs!$B$4+Inputs!I11*Inputs!$B$5</f>
        <v>0.12665000000000001</v>
      </c>
      <c r="C7" s="21">
        <f>Inputs!E11+Inputs!F11</f>
        <v>17833</v>
      </c>
      <c r="D7" s="22">
        <f>IF(C7=0,0,Inputs!E11/C7)</f>
        <v>0.65176919194751304</v>
      </c>
      <c r="E7" s="22">
        <f>IF(C7=0,0,Inputs!F11/C7)</f>
        <v>0.34823080805248696</v>
      </c>
      <c r="F7" s="20">
        <f>D7*B7+E7*Inputs!J11*(1-Inputs!H11)</f>
        <v>9.4594796949475701E-2</v>
      </c>
      <c r="G7" s="21">
        <f>Inputs!C11*(1-Inputs!H11)</f>
        <v>7104.0960000000005</v>
      </c>
      <c r="H7" s="20">
        <f t="shared" si="0"/>
        <v>0.39836796949475695</v>
      </c>
      <c r="I7" s="20">
        <f>IF(Inputs!E11=0,0,Inputs!D11/Inputs!E11)</f>
        <v>0.61343887120364793</v>
      </c>
      <c r="J7" s="20">
        <f>IF(Inputs!G11=0,0,Inputs!D11/Inputs!G11)</f>
        <v>0.24172769189042581</v>
      </c>
      <c r="K7" s="21">
        <f>Inputs!K11*(1-Inputs!N11)</f>
        <v>5406.2820000000002</v>
      </c>
      <c r="L7" s="21">
        <f>Inputs!L11+Inputs!M11</f>
        <v>19733</v>
      </c>
      <c r="M7" s="21">
        <f t="shared" si="1"/>
        <v>1697.8140000000003</v>
      </c>
      <c r="N7" s="21">
        <f t="shared" si="2"/>
        <v>-1900</v>
      </c>
      <c r="O7" s="22">
        <f t="shared" si="3"/>
        <v>-0.8935863157894739</v>
      </c>
    </row>
    <row r="8" spans="1:15" x14ac:dyDescent="0.3">
      <c r="A8" s="15" t="str">
        <f>Inputs!A12</f>
        <v>Shopify (SHOP)</v>
      </c>
      <c r="B8" s="16">
        <f>Inputs!$B$4+Inputs!I12*Inputs!$B$5</f>
        <v>0.1976</v>
      </c>
      <c r="C8" s="17">
        <f>Inputs!E12+Inputs!F12</f>
        <v>13661</v>
      </c>
      <c r="D8" s="18">
        <f>IF(C8=0,0,Inputs!E12/C8)</f>
        <v>0.98623819632530563</v>
      </c>
      <c r="E8" s="18">
        <f>IF(C8=0,0,Inputs!F12/C8)</f>
        <v>1.3761803674694385E-2</v>
      </c>
      <c r="F8" s="16">
        <f>D8*B8+E8*Inputs!J12*(1-Inputs!H12)</f>
        <v>0.19538600102481518</v>
      </c>
      <c r="G8" s="17">
        <f>Inputs!C12*(1-Inputs!H12)</f>
        <v>1197.8880000000001</v>
      </c>
      <c r="H8" s="16">
        <f t="shared" si="0"/>
        <v>8.7686699363150586E-2</v>
      </c>
      <c r="I8" s="16">
        <f>IF(Inputs!E12=0,0,Inputs!D12/Inputs!E12)</f>
        <v>9.136792102723966E-2</v>
      </c>
      <c r="J8" s="16">
        <f>IF(Inputs!G12=0,0,Inputs!D12/Inputs!G12)</f>
        <v>8.1045493449206668E-2</v>
      </c>
      <c r="K8" s="17">
        <f>Inputs!K12*(1-Inputs!N12)</f>
        <v>973.95</v>
      </c>
      <c r="L8" s="17">
        <f>Inputs!L12+Inputs!M12</f>
        <v>12476</v>
      </c>
      <c r="M8" s="17">
        <f t="shared" si="1"/>
        <v>223.9380000000001</v>
      </c>
      <c r="N8" s="17">
        <f t="shared" si="2"/>
        <v>1185</v>
      </c>
      <c r="O8" s="18">
        <f t="shared" si="3"/>
        <v>0.18897721518987351</v>
      </c>
    </row>
    <row r="9" spans="1:15" x14ac:dyDescent="0.3">
      <c r="A9" s="19" t="str">
        <f>Inputs!A13</f>
        <v>Axon (AXON)</v>
      </c>
      <c r="B9" s="20">
        <f>Inputs!$B$4+Inputs!I13*Inputs!$B$5</f>
        <v>0.12610000000000002</v>
      </c>
      <c r="C9" s="21">
        <f>Inputs!E13+Inputs!F13</f>
        <v>5054</v>
      </c>
      <c r="D9" s="22">
        <f>IF(C9=0,0,Inputs!E13/C9)</f>
        <v>0.64166996438464585</v>
      </c>
      <c r="E9" s="22">
        <f>IF(C9=0,0,Inputs!F13/C9)</f>
        <v>0.35833003561535415</v>
      </c>
      <c r="F9" s="20">
        <f>D9*B9+E9*Inputs!J13*(1-Inputs!H13)</f>
        <v>9.56347803719826E-2</v>
      </c>
      <c r="G9" s="21">
        <f>Inputs!C13*(1-Inputs!H13)</f>
        <v>-49.059000000000005</v>
      </c>
      <c r="H9" s="20">
        <f t="shared" si="0"/>
        <v>-9.7069647803719843E-3</v>
      </c>
      <c r="I9" s="20">
        <f>IF(Inputs!E13=0,0,Inputs!D13/Inputs!E13)</f>
        <v>3.8452050570459452E-2</v>
      </c>
      <c r="J9" s="20">
        <f>IF(Inputs!G13=0,0,Inputs!D13/Inputs!G13)</f>
        <v>1.7814285714285713E-2</v>
      </c>
      <c r="K9" s="21">
        <f>Inputs!K13*(1-Inputs!N13)</f>
        <v>57.798000000000002</v>
      </c>
      <c r="L9" s="21">
        <f>Inputs!L13+Inputs!M13</f>
        <v>3018</v>
      </c>
      <c r="M9" s="21">
        <f t="shared" si="1"/>
        <v>-106.857</v>
      </c>
      <c r="N9" s="21">
        <f t="shared" si="2"/>
        <v>2036</v>
      </c>
      <c r="O9" s="22">
        <f t="shared" si="3"/>
        <v>-5.248379174852652E-2</v>
      </c>
    </row>
    <row r="10" spans="1:15" x14ac:dyDescent="0.3">
      <c r="A10" s="15" t="str">
        <f>Inputs!A14</f>
        <v>BillionToOne (BLLN)</v>
      </c>
      <c r="B10" s="16">
        <f>Inputs!$B$4+Inputs!I14*Inputs!$B$5</f>
        <v>0.1162</v>
      </c>
      <c r="C10" s="17">
        <f>Inputs!E14+Inputs!F14</f>
        <v>532.6</v>
      </c>
      <c r="D10" s="18">
        <f>IF(C10=0,0,Inputs!E14/C10)</f>
        <v>0.90142696207285022</v>
      </c>
      <c r="E10" s="18">
        <f>IF(C10=0,0,Inputs!F14/C10)</f>
        <v>9.8573037927149831E-2</v>
      </c>
      <c r="F10" s="16">
        <f>D10*B10+E10*Inputs!J14*(1-Inputs!H14)</f>
        <v>0.1123162223056703</v>
      </c>
      <c r="G10" s="17">
        <f>Inputs!C14*(1-Inputs!H14)</f>
        <v>15.36</v>
      </c>
      <c r="H10" s="16">
        <f t="shared" si="0"/>
        <v>2.8839654524971833E-2</v>
      </c>
      <c r="I10" s="16">
        <f>IF(Inputs!E14=0,0,Inputs!D14/Inputs!E14)</f>
        <v>6.0404082482816077E-3</v>
      </c>
      <c r="J10" s="16">
        <f>IF(Inputs!G14=0,0,Inputs!D14/Inputs!G14)</f>
        <v>4.8333333333333336E-3</v>
      </c>
      <c r="K10" s="17">
        <f>Inputs!K14*(1-Inputs!N14)</f>
        <v>-45.263999999999996</v>
      </c>
      <c r="L10" s="17">
        <f>Inputs!L14+Inputs!M14</f>
        <v>277</v>
      </c>
      <c r="M10" s="17">
        <f t="shared" si="1"/>
        <v>60.623999999999995</v>
      </c>
      <c r="N10" s="17">
        <f t="shared" si="2"/>
        <v>255.60000000000002</v>
      </c>
      <c r="O10" s="18">
        <f t="shared" si="3"/>
        <v>0.23718309859154926</v>
      </c>
    </row>
    <row r="11" spans="1:15" x14ac:dyDescent="0.3">
      <c r="A11" s="19" t="str">
        <f>Inputs!A15</f>
        <v>Intuitive Surgical (ISRG)</v>
      </c>
      <c r="B11" s="20">
        <f>Inputs!$B$4+Inputs!I15*Inputs!$B$5</f>
        <v>0.13544999999999999</v>
      </c>
      <c r="C11" s="21">
        <f>Inputs!E15+Inputs!F15</f>
        <v>17942</v>
      </c>
      <c r="D11" s="22">
        <f>IF(C11=0,0,Inputs!E15/C11)</f>
        <v>1</v>
      </c>
      <c r="E11" s="22">
        <f>IF(C11=0,0,Inputs!F15/C11)</f>
        <v>0</v>
      </c>
      <c r="F11" s="20">
        <f>D11*B11+E11*Inputs!J15*(1-Inputs!H15)</f>
        <v>0.13544999999999999</v>
      </c>
      <c r="G11" s="21">
        <f>Inputs!C15*(1-Inputs!H15)</f>
        <v>2314.9650000000001</v>
      </c>
      <c r="H11" s="20">
        <f t="shared" si="0"/>
        <v>0.12902491361052279</v>
      </c>
      <c r="I11" s="20">
        <f>IF(Inputs!E15=0,0,Inputs!D15/Inputs!E15)</f>
        <v>0.161631925091963</v>
      </c>
      <c r="J11" s="20">
        <f>IF(Inputs!G15=0,0,Inputs!D15/Inputs!G15)</f>
        <v>0.14174690845104843</v>
      </c>
      <c r="K11" s="21">
        <f>Inputs!K15*(1-Inputs!N15)</f>
        <v>1544.7113999999999</v>
      </c>
      <c r="L11" s="21">
        <f>Inputs!L15+Inputs!M15</f>
        <v>13397</v>
      </c>
      <c r="M11" s="21">
        <f t="shared" si="1"/>
        <v>770.25360000000023</v>
      </c>
      <c r="N11" s="21">
        <f t="shared" si="2"/>
        <v>4545</v>
      </c>
      <c r="O11" s="22">
        <f t="shared" si="3"/>
        <v>0.16947273927392745</v>
      </c>
    </row>
    <row r="12" spans="1:15" x14ac:dyDescent="0.3">
      <c r="A12" s="15" t="str">
        <f>Inputs!A16</f>
        <v>Eli Lilly (LLY)</v>
      </c>
      <c r="B12" s="16">
        <f>Inputs!$B$4+Inputs!I16*Inputs!$B$5</f>
        <v>6.615E-2</v>
      </c>
      <c r="C12" s="17">
        <f>Inputs!E16+Inputs!F16</f>
        <v>69045</v>
      </c>
      <c r="D12" s="18">
        <f>IF(C12=0,0,Inputs!E16/C12)</f>
        <v>0.38431457744948944</v>
      </c>
      <c r="E12" s="18">
        <f>IF(C12=0,0,Inputs!F16/C12)</f>
        <v>0.61568542255051051</v>
      </c>
      <c r="F12" s="16">
        <f>D12*B12+E12*Inputs!J16*(1-Inputs!H16)</f>
        <v>3.8388744297197477E-2</v>
      </c>
      <c r="G12" s="17">
        <f>Inputs!C16*(1-Inputs!H16)</f>
        <v>22923</v>
      </c>
      <c r="H12" s="16">
        <f t="shared" si="0"/>
        <v>0.33200086899847925</v>
      </c>
      <c r="I12" s="16">
        <f>IF(Inputs!E16=0,0,Inputs!D16/Inputs!E16)</f>
        <v>0.77633314490295835</v>
      </c>
      <c r="J12" s="16">
        <f>IF(Inputs!G16=0,0,Inputs!D16/Inputs!G16)</f>
        <v>0.18315018315018314</v>
      </c>
      <c r="K12" s="17">
        <f>Inputs!K16*(1-Inputs!N16)</f>
        <v>10770.664999999999</v>
      </c>
      <c r="L12" s="17">
        <f>Inputs!L16+Inputs!M16</f>
        <v>47916</v>
      </c>
      <c r="M12" s="17">
        <f t="shared" si="1"/>
        <v>12152.335000000001</v>
      </c>
      <c r="N12" s="17">
        <f t="shared" si="2"/>
        <v>21129</v>
      </c>
      <c r="O12" s="18">
        <f t="shared" si="3"/>
        <v>0.57514955748024044</v>
      </c>
    </row>
    <row r="13" spans="1:15" x14ac:dyDescent="0.3">
      <c r="A13" s="19" t="str">
        <f>Inputs!A17</f>
        <v>Palantir (PLTR)</v>
      </c>
      <c r="B13" s="20">
        <f>Inputs!$B$4+Inputs!I17*Inputs!$B$5</f>
        <v>0.13544999999999999</v>
      </c>
      <c r="C13" s="21">
        <f>Inputs!E17+Inputs!F17</f>
        <v>7500</v>
      </c>
      <c r="D13" s="22">
        <f>IF(C13=0,0,Inputs!E17/C13)</f>
        <v>1</v>
      </c>
      <c r="E13" s="22">
        <f>IF(C13=0,0,Inputs!F17/C13)</f>
        <v>0</v>
      </c>
      <c r="F13" s="20">
        <f>D13*B13+E13*Inputs!J17*(1-Inputs!H17)</f>
        <v>0.13544999999999999</v>
      </c>
      <c r="G13" s="21">
        <f>Inputs!C17*(1-Inputs!H17)</f>
        <v>1392.79</v>
      </c>
      <c r="H13" s="20">
        <f t="shared" si="0"/>
        <v>0.18570533333333333</v>
      </c>
      <c r="I13" s="20">
        <f>IF(Inputs!E17=0,0,Inputs!D17/Inputs!E17)</f>
        <v>0.21666666666666667</v>
      </c>
      <c r="J13" s="20">
        <f>IF(Inputs!G17=0,0,Inputs!D17/Inputs!G17)</f>
        <v>0.18258426966292135</v>
      </c>
      <c r="K13" s="21">
        <f>Inputs!K17*(1-Inputs!N17)</f>
        <v>296.89760000000001</v>
      </c>
      <c r="L13" s="21">
        <f>Inputs!L17+Inputs!M17</f>
        <v>5094</v>
      </c>
      <c r="M13" s="21">
        <f t="shared" si="1"/>
        <v>1095.8924</v>
      </c>
      <c r="N13" s="21">
        <f t="shared" si="2"/>
        <v>2406</v>
      </c>
      <c r="O13" s="22">
        <f t="shared" si="3"/>
        <v>0.45548312551953446</v>
      </c>
    </row>
    <row r="14" spans="1:15" x14ac:dyDescent="0.3">
      <c r="A14" s="15" t="str">
        <f>Inputs!A18</f>
        <v>Tesla (TSLA)</v>
      </c>
      <c r="B14" s="16">
        <f>Inputs!$B$4+Inputs!I18*Inputs!$B$5</f>
        <v>0.15634999999999999</v>
      </c>
      <c r="C14" s="17">
        <f>Inputs!E18+Inputs!F18</f>
        <v>84700</v>
      </c>
      <c r="D14" s="18">
        <f>IF(C14=0,0,Inputs!E18/C14)</f>
        <v>0.97874852420306968</v>
      </c>
      <c r="E14" s="18">
        <f>IF(C14=0,0,Inputs!F18/C14)</f>
        <v>2.1251475796930343E-2</v>
      </c>
      <c r="F14" s="16">
        <f>D14*B14+E14*Inputs!J18*(1-Inputs!H18)</f>
        <v>0.15341517119244391</v>
      </c>
      <c r="G14" s="17">
        <f>Inputs!C18*(1-Inputs!H18)</f>
        <v>3179.15</v>
      </c>
      <c r="H14" s="16">
        <f t="shared" si="0"/>
        <v>3.7534238488783941E-2</v>
      </c>
      <c r="I14" s="16">
        <f>IF(Inputs!E18=0,0,Inputs!D18/Inputs!E18)</f>
        <v>4.5765983112183356E-2</v>
      </c>
      <c r="J14" s="16">
        <f>IF(Inputs!G18=0,0,Inputs!D18/Inputs!G18)</f>
        <v>2.7531457266011639E-2</v>
      </c>
      <c r="K14" s="17">
        <f>Inputs!K18*(1-Inputs!N18)</f>
        <v>7077.2360000000008</v>
      </c>
      <c r="L14" s="17">
        <f>Inputs!L18+Inputs!M18</f>
        <v>80791</v>
      </c>
      <c r="M14" s="17">
        <f t="shared" si="1"/>
        <v>-3898.0860000000007</v>
      </c>
      <c r="N14" s="17">
        <f t="shared" si="2"/>
        <v>3909</v>
      </c>
      <c r="O14" s="18">
        <f t="shared" si="3"/>
        <v>-0.99720798158096713</v>
      </c>
    </row>
    <row r="15" spans="1:15" x14ac:dyDescent="0.3">
      <c r="A15" s="19" t="str">
        <f>Inputs!A19</f>
        <v>Constellation Software (CSU)</v>
      </c>
      <c r="B15" s="20">
        <f>Inputs!$B$4+Inputs!I19*Inputs!$B$5</f>
        <v>8.2100000000000006E-2</v>
      </c>
      <c r="C15" s="21">
        <f>Inputs!E19+Inputs!F19</f>
        <v>8821</v>
      </c>
      <c r="D15" s="22">
        <f>IF(C15=0,0,Inputs!E19/C15)</f>
        <v>0.48373200317424331</v>
      </c>
      <c r="E15" s="22">
        <f>IF(C15=0,0,Inputs!F19/C15)</f>
        <v>0.51626799682575675</v>
      </c>
      <c r="F15" s="20">
        <f>D15*B15+E15*Inputs!J19*(1-Inputs!H19)</f>
        <v>5.646626142160753E-2</v>
      </c>
      <c r="G15" s="21">
        <f>Inputs!C19*(1-Inputs!H19)</f>
        <v>1182.48</v>
      </c>
      <c r="H15" s="20">
        <f t="shared" si="0"/>
        <v>0.13405282847749689</v>
      </c>
      <c r="I15" s="20">
        <f>IF(Inputs!E19=0,0,Inputs!D19/Inputs!E19)</f>
        <v>0.11999062573236466</v>
      </c>
      <c r="J15" s="20">
        <f>IF(Inputs!G19=0,0,Inputs!D19/Inputs!G19)</f>
        <v>3.1661616473934819E-2</v>
      </c>
      <c r="K15" s="21">
        <f>Inputs!K19*(1-Inputs!N19)</f>
        <v>1110.4169999999999</v>
      </c>
      <c r="L15" s="21">
        <f>Inputs!L19+Inputs!M19</f>
        <v>7454</v>
      </c>
      <c r="M15" s="21">
        <f t="shared" si="1"/>
        <v>72.063000000000102</v>
      </c>
      <c r="N15" s="21">
        <f t="shared" si="2"/>
        <v>1367</v>
      </c>
      <c r="O15" s="22">
        <f t="shared" si="3"/>
        <v>5.2716166788588224E-2</v>
      </c>
    </row>
    <row r="16" spans="1:15" x14ac:dyDescent="0.3">
      <c r="A16" s="15" t="str">
        <f>Inputs!A20</f>
        <v>Samsara (IOT)</v>
      </c>
      <c r="B16" s="16">
        <f>Inputs!$B$4+Inputs!I20*Inputs!$B$5</f>
        <v>0.13160000000000002</v>
      </c>
      <c r="C16" s="17">
        <f>Inputs!E20+Inputs!F20</f>
        <v>1492.8</v>
      </c>
      <c r="D16" s="18">
        <f>IF(C16=0,0,Inputs!E20/C16)</f>
        <v>0.9512325830653805</v>
      </c>
      <c r="E16" s="18">
        <f>IF(C16=0,0,Inputs!F20/C16)</f>
        <v>4.8767416934619508E-2</v>
      </c>
      <c r="F16" s="16">
        <f>D16*B16+E16*Inputs!J20*(1-Inputs!H20)</f>
        <v>0.12518220793140408</v>
      </c>
      <c r="G16" s="17">
        <f>Inputs!C20*(1-Inputs!H20)</f>
        <v>-52.6</v>
      </c>
      <c r="H16" s="16">
        <f t="shared" si="0"/>
        <v>-3.5235798499464094E-2</v>
      </c>
      <c r="I16" s="16">
        <f>IF(Inputs!E20=0,0,Inputs!D20/Inputs!E20)</f>
        <v>-6.4084507042253521E-3</v>
      </c>
      <c r="J16" s="16">
        <f>IF(Inputs!G20=0,0,Inputs!D20/Inputs!G20)</f>
        <v>-3.5812672176308538E-3</v>
      </c>
      <c r="K16" s="17">
        <f>Inputs!K20*(1-Inputs!N20)</f>
        <v>-190</v>
      </c>
      <c r="L16" s="17">
        <f>Inputs!L20+Inputs!M20</f>
        <v>1069</v>
      </c>
      <c r="M16" s="17">
        <f t="shared" si="1"/>
        <v>137.4</v>
      </c>
      <c r="N16" s="17">
        <f t="shared" si="2"/>
        <v>423.79999999999995</v>
      </c>
      <c r="O16" s="18">
        <f t="shared" si="3"/>
        <v>0.32420953279848991</v>
      </c>
    </row>
    <row r="17" spans="1:15" x14ac:dyDescent="0.3">
      <c r="A17" s="19" t="str">
        <f>Inputs!A21</f>
        <v>Comfort Systems (FIX)</v>
      </c>
      <c r="B17" s="20">
        <f>Inputs!$B$4+Inputs!I21*Inputs!$B$5</f>
        <v>0.12940000000000002</v>
      </c>
      <c r="C17" s="21">
        <f>Inputs!E21+Inputs!F21</f>
        <v>2594</v>
      </c>
      <c r="D17" s="22">
        <f>IF(C17=0,0,Inputs!E21/C17)</f>
        <v>0.94410177332305323</v>
      </c>
      <c r="E17" s="22">
        <f>IF(C17=0,0,Inputs!F21/C17)</f>
        <v>5.5898226676946799E-2</v>
      </c>
      <c r="F17" s="20">
        <f>D17*B17+E17*Inputs!J21*(1-Inputs!H21)</f>
        <v>0.12490813030069393</v>
      </c>
      <c r="G17" s="21">
        <f>Inputs!C21*(1-Inputs!H21)</f>
        <v>1040.165</v>
      </c>
      <c r="H17" s="20">
        <f t="shared" si="0"/>
        <v>0.4009888203546646</v>
      </c>
      <c r="I17" s="20">
        <f>IF(Inputs!E21=0,0,Inputs!D21/Inputs!E21)</f>
        <v>0.41772151898734178</v>
      </c>
      <c r="J17" s="20">
        <f>IF(Inputs!G21=0,0,Inputs!D21/Inputs!G21)</f>
        <v>0.15882626921285514</v>
      </c>
      <c r="K17" s="21">
        <f>Inputs!K21*(1-Inputs!N21)</f>
        <v>587.37972000000002</v>
      </c>
      <c r="L17" s="21">
        <f>Inputs!L21+Inputs!M21</f>
        <v>1773.3</v>
      </c>
      <c r="M17" s="21">
        <f t="shared" si="1"/>
        <v>452.78527999999994</v>
      </c>
      <c r="N17" s="21">
        <f t="shared" si="2"/>
        <v>820.7</v>
      </c>
      <c r="O17" s="22">
        <f t="shared" si="3"/>
        <v>0.55170620202266352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8"/>
  <sheetViews>
    <sheetView topLeftCell="A3" workbookViewId="0">
      <selection sqref="A1:J1"/>
    </sheetView>
  </sheetViews>
  <sheetFormatPr defaultRowHeight="14.4" x14ac:dyDescent="0.3"/>
  <cols>
    <col min="1" max="1" width="30" customWidth="1"/>
    <col min="2" max="3" width="10" customWidth="1"/>
    <col min="4" max="4" width="12" customWidth="1"/>
    <col min="5" max="7" width="10" customWidth="1"/>
    <col min="8" max="8" width="14" customWidth="1"/>
    <col min="9" max="9" width="8" customWidth="1"/>
    <col min="10" max="10" width="26" customWidth="1"/>
  </cols>
  <sheetData>
    <row r="1" spans="1:10" ht="17.399999999999999" x14ac:dyDescent="0.3">
      <c r="A1" s="46" t="s">
        <v>51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x14ac:dyDescent="0.3">
      <c r="A2" s="23" t="s">
        <v>52</v>
      </c>
    </row>
    <row r="4" spans="1:10" x14ac:dyDescent="0.3">
      <c r="A4" s="24" t="s">
        <v>4</v>
      </c>
      <c r="B4" s="24" t="s">
        <v>43</v>
      </c>
      <c r="C4" s="24" t="s">
        <v>41</v>
      </c>
      <c r="D4" s="24" t="s">
        <v>53</v>
      </c>
      <c r="E4" s="24" t="s">
        <v>50</v>
      </c>
      <c r="F4" s="24" t="s">
        <v>44</v>
      </c>
      <c r="G4" s="24" t="s">
        <v>45</v>
      </c>
      <c r="H4" s="24" t="s">
        <v>54</v>
      </c>
      <c r="I4" s="24" t="s">
        <v>55</v>
      </c>
      <c r="J4" s="24" t="s">
        <v>56</v>
      </c>
    </row>
    <row r="5" spans="1:10" x14ac:dyDescent="0.3">
      <c r="A5" s="19" t="str">
        <f>Calculations!A4</f>
        <v>Veeva (VEEV)</v>
      </c>
      <c r="B5" s="22">
        <f>Calculations!H4</f>
        <v>0.17256000000000002</v>
      </c>
      <c r="C5" s="22">
        <f>Calculations!F4</f>
        <v>0.1019</v>
      </c>
      <c r="D5" s="25">
        <f t="shared" ref="D5:D18" si="0">B5-C5</f>
        <v>7.0660000000000014E-2</v>
      </c>
      <c r="E5" s="22">
        <f>Calculations!O4</f>
        <v>0.8748835329341319</v>
      </c>
      <c r="F5" s="22">
        <f>Calculations!I4</f>
        <v>0.17246153846153847</v>
      </c>
      <c r="G5" s="22">
        <f>Calculations!J4</f>
        <v>0.13188235294117648</v>
      </c>
      <c r="H5" s="26">
        <f>Calculations!G4-(Calculations!C4*Calculations!F4)</f>
        <v>459.29000000000008</v>
      </c>
      <c r="I5" s="27">
        <f t="shared" ref="I5:I18" si="1">IF(B5&gt;C5,1,0)+IF(B5&gt;0.15,1,0)+IF(AND(ISNUMBER(E5),E5&gt;C5),1,0)+IF(F5&gt;0.15,1,0)+IF(H5&gt;0,1,0)</f>
        <v>5</v>
      </c>
      <c r="J5" s="27" t="str">
        <f t="shared" ref="J5:J18" si="2">IF(I5&gt;=4,"COMPOUNDER",IF(I5&gt;=2,"POTENTIAL COMPOUNDER","NOT YET A COMPOUNDER"))</f>
        <v>COMPOUNDER</v>
      </c>
    </row>
    <row r="6" spans="1:10" x14ac:dyDescent="0.3">
      <c r="A6" s="19" t="str">
        <f>Calculations!A5</f>
        <v>ServiceNow (NOW)</v>
      </c>
      <c r="B6" s="22">
        <f>Calculations!H5</f>
        <v>9.7540781736423388E-2</v>
      </c>
      <c r="C6" s="22">
        <f>Calculations!F5</f>
        <v>8.7183210508474579E-2</v>
      </c>
      <c r="D6" s="25">
        <f t="shared" si="0"/>
        <v>1.0357571227948809E-2</v>
      </c>
      <c r="E6" s="22">
        <f>Calculations!O5</f>
        <v>0.11350155763239875</v>
      </c>
      <c r="F6" s="22">
        <f>Calculations!I5</f>
        <v>0.13483492749151496</v>
      </c>
      <c r="G6" s="22">
        <f>Calculations!J5</f>
        <v>6.7132652277440669E-2</v>
      </c>
      <c r="H6" s="26">
        <f>Calculations!G5-(Calculations!C5*Calculations!F5)</f>
        <v>149.7186921</v>
      </c>
      <c r="I6" s="27">
        <f t="shared" si="1"/>
        <v>3</v>
      </c>
      <c r="J6" s="27" t="str">
        <f t="shared" si="2"/>
        <v>POTENTIAL COMPOUNDER</v>
      </c>
    </row>
    <row r="7" spans="1:10" x14ac:dyDescent="0.3">
      <c r="A7" s="19" t="str">
        <f>Calculations!A6</f>
        <v>Intuit (INTU)</v>
      </c>
      <c r="B7" s="22">
        <f>Calculations!H6</f>
        <v>0.15334657166218901</v>
      </c>
      <c r="C7" s="22">
        <f>Calculations!F6</f>
        <v>9.5573811470622591E-2</v>
      </c>
      <c r="D7" s="25">
        <f t="shared" si="0"/>
        <v>5.7772760191566422E-2</v>
      </c>
      <c r="E7" s="22">
        <f>Calculations!O6</f>
        <v>0.76550868486352397</v>
      </c>
      <c r="F7" s="22">
        <f>Calculations!I6</f>
        <v>0.1962962962962963</v>
      </c>
      <c r="G7" s="22">
        <f>Calculations!J6</f>
        <v>0.10468640077926294</v>
      </c>
      <c r="H7" s="26">
        <f>Calculations!G6-(Calculations!C6*Calculations!F6)</f>
        <v>1483.7778000000003</v>
      </c>
      <c r="I7" s="27">
        <f t="shared" si="1"/>
        <v>5</v>
      </c>
      <c r="J7" s="27" t="str">
        <f t="shared" si="2"/>
        <v>COMPOUNDER</v>
      </c>
    </row>
    <row r="8" spans="1:10" x14ac:dyDescent="0.3">
      <c r="A8" s="19" t="str">
        <f>Calculations!A7</f>
        <v>Adobe (ADBE)</v>
      </c>
      <c r="B8" s="22">
        <f>Calculations!H7</f>
        <v>0.39836796949475695</v>
      </c>
      <c r="C8" s="22">
        <f>Calculations!F7</f>
        <v>9.4594796949475701E-2</v>
      </c>
      <c r="D8" s="25">
        <f t="shared" si="0"/>
        <v>0.30377317254528124</v>
      </c>
      <c r="E8" s="22">
        <f>Calculations!O7</f>
        <v>-0.8935863157894739</v>
      </c>
      <c r="F8" s="22">
        <f>Calculations!I7</f>
        <v>0.61343887120364793</v>
      </c>
      <c r="G8" s="22">
        <f>Calculations!J7</f>
        <v>0.24172769189042581</v>
      </c>
      <c r="H8" s="26">
        <f>Calculations!G7-(Calculations!C7*Calculations!F7)</f>
        <v>5417.1869860000006</v>
      </c>
      <c r="I8" s="27">
        <f t="shared" si="1"/>
        <v>4</v>
      </c>
      <c r="J8" s="27" t="str">
        <f t="shared" si="2"/>
        <v>COMPOUNDER</v>
      </c>
    </row>
    <row r="9" spans="1:10" x14ac:dyDescent="0.3">
      <c r="A9" s="19" t="str">
        <f>Calculations!A8</f>
        <v>Shopify (SHOP)</v>
      </c>
      <c r="B9" s="22">
        <f>Calculations!H8</f>
        <v>8.7686699363150586E-2</v>
      </c>
      <c r="C9" s="22">
        <f>Calculations!F8</f>
        <v>0.19538600102481518</v>
      </c>
      <c r="D9" s="25">
        <f t="shared" si="0"/>
        <v>-0.1076993016616646</v>
      </c>
      <c r="E9" s="22">
        <f>Calculations!O8</f>
        <v>0.18897721518987351</v>
      </c>
      <c r="F9" s="22">
        <f>Calculations!I8</f>
        <v>9.136792102723966E-2</v>
      </c>
      <c r="G9" s="22">
        <f>Calculations!J8</f>
        <v>8.1045493449206668E-2</v>
      </c>
      <c r="H9" s="26">
        <f>Calculations!G8-(Calculations!C8*Calculations!F8)</f>
        <v>-1471.28016</v>
      </c>
      <c r="I9" s="27">
        <f t="shared" si="1"/>
        <v>0</v>
      </c>
      <c r="J9" s="27" t="str">
        <f t="shared" si="2"/>
        <v>NOT YET A COMPOUNDER</v>
      </c>
    </row>
    <row r="10" spans="1:10" x14ac:dyDescent="0.3">
      <c r="A10" s="19" t="str">
        <f>Calculations!A9</f>
        <v>Axon (AXON)</v>
      </c>
      <c r="B10" s="22">
        <f>Calculations!H9</f>
        <v>-9.7069647803719843E-3</v>
      </c>
      <c r="C10" s="22">
        <f>Calculations!F9</f>
        <v>9.56347803719826E-2</v>
      </c>
      <c r="D10" s="25">
        <f t="shared" si="0"/>
        <v>-0.10534174515235459</v>
      </c>
      <c r="E10" s="22">
        <f>Calculations!O9</f>
        <v>-5.248379174852652E-2</v>
      </c>
      <c r="F10" s="22">
        <f>Calculations!I9</f>
        <v>3.8452050570459452E-2</v>
      </c>
      <c r="G10" s="22">
        <f>Calculations!J9</f>
        <v>1.7814285714285713E-2</v>
      </c>
      <c r="H10" s="26">
        <f>Calculations!G9-(Calculations!C9*Calculations!F9)</f>
        <v>-532.39718000000005</v>
      </c>
      <c r="I10" s="27">
        <f t="shared" si="1"/>
        <v>0</v>
      </c>
      <c r="J10" s="27" t="str">
        <f t="shared" si="2"/>
        <v>NOT YET A COMPOUNDER</v>
      </c>
    </row>
    <row r="11" spans="1:10" x14ac:dyDescent="0.3">
      <c r="A11" s="19" t="str">
        <f>Calculations!A10</f>
        <v>BillionToOne (BLLN)</v>
      </c>
      <c r="B11" s="22">
        <f>Calculations!H10</f>
        <v>2.8839654524971833E-2</v>
      </c>
      <c r="C11" s="22">
        <f>Calculations!F10</f>
        <v>0.1123162223056703</v>
      </c>
      <c r="D11" s="25">
        <f t="shared" si="0"/>
        <v>-8.3476567780698466E-2</v>
      </c>
      <c r="E11" s="22">
        <f>Calculations!O10</f>
        <v>0.23718309859154926</v>
      </c>
      <c r="F11" s="22">
        <f>Calculations!I10</f>
        <v>6.0404082482816077E-3</v>
      </c>
      <c r="G11" s="22">
        <f>Calculations!J10</f>
        <v>4.8333333333333336E-3</v>
      </c>
      <c r="H11" s="26">
        <f>Calculations!G10-(Calculations!C10*Calculations!F10)</f>
        <v>-44.459620000000008</v>
      </c>
      <c r="I11" s="27">
        <f t="shared" si="1"/>
        <v>1</v>
      </c>
      <c r="J11" s="27" t="str">
        <f t="shared" si="2"/>
        <v>NOT YET A COMPOUNDER</v>
      </c>
    </row>
    <row r="12" spans="1:10" x14ac:dyDescent="0.3">
      <c r="A12" s="19" t="str">
        <f>Calculations!A11</f>
        <v>Intuitive Surgical (ISRG)</v>
      </c>
      <c r="B12" s="22">
        <f>Calculations!H11</f>
        <v>0.12902491361052279</v>
      </c>
      <c r="C12" s="22">
        <f>Calculations!F11</f>
        <v>0.13544999999999999</v>
      </c>
      <c r="D12" s="25">
        <f t="shared" si="0"/>
        <v>-6.425086389477197E-3</v>
      </c>
      <c r="E12" s="22">
        <f>Calculations!O11</f>
        <v>0.16947273927392745</v>
      </c>
      <c r="F12" s="22">
        <f>Calculations!I11</f>
        <v>0.161631925091963</v>
      </c>
      <c r="G12" s="22">
        <f>Calculations!J11</f>
        <v>0.14174690845104843</v>
      </c>
      <c r="H12" s="26">
        <f>Calculations!G11-(Calculations!C11*Calculations!F11)</f>
        <v>-115.27889999999979</v>
      </c>
      <c r="I12" s="27">
        <f t="shared" si="1"/>
        <v>2</v>
      </c>
      <c r="J12" s="27" t="str">
        <f t="shared" si="2"/>
        <v>POTENTIAL COMPOUNDER</v>
      </c>
    </row>
    <row r="13" spans="1:10" x14ac:dyDescent="0.3">
      <c r="A13" s="19" t="str">
        <f>Calculations!A12</f>
        <v>Eli Lilly (LLY)</v>
      </c>
      <c r="B13" s="22">
        <f>Calculations!H12</f>
        <v>0.33200086899847925</v>
      </c>
      <c r="C13" s="22">
        <f>Calculations!F12</f>
        <v>3.8388744297197477E-2</v>
      </c>
      <c r="D13" s="25">
        <f t="shared" si="0"/>
        <v>0.29361212470128178</v>
      </c>
      <c r="E13" s="22">
        <f>Calculations!O12</f>
        <v>0.57514955748024044</v>
      </c>
      <c r="F13" s="22">
        <f>Calculations!I12</f>
        <v>0.77633314490295835</v>
      </c>
      <c r="G13" s="22">
        <f>Calculations!J12</f>
        <v>0.18315018315018314</v>
      </c>
      <c r="H13" s="26">
        <f>Calculations!G12-(Calculations!C12*Calculations!F12)</f>
        <v>20272.44915</v>
      </c>
      <c r="I13" s="27">
        <f t="shared" si="1"/>
        <v>5</v>
      </c>
      <c r="J13" s="27" t="str">
        <f t="shared" si="2"/>
        <v>COMPOUNDER</v>
      </c>
    </row>
    <row r="14" spans="1:10" x14ac:dyDescent="0.3">
      <c r="A14" s="19" t="str">
        <f>Calculations!A13</f>
        <v>Palantir (PLTR)</v>
      </c>
      <c r="B14" s="22">
        <f>Calculations!H13</f>
        <v>0.18570533333333333</v>
      </c>
      <c r="C14" s="22">
        <f>Calculations!F13</f>
        <v>0.13544999999999999</v>
      </c>
      <c r="D14" s="25">
        <f t="shared" si="0"/>
        <v>5.0255333333333346E-2</v>
      </c>
      <c r="E14" s="22">
        <f>Calculations!O13</f>
        <v>0.45548312551953446</v>
      </c>
      <c r="F14" s="22">
        <f>Calculations!I13</f>
        <v>0.21666666666666667</v>
      </c>
      <c r="G14" s="22">
        <f>Calculations!J13</f>
        <v>0.18258426966292135</v>
      </c>
      <c r="H14" s="26">
        <f>Calculations!G13-(Calculations!C13*Calculations!F13)</f>
        <v>376.91500000000008</v>
      </c>
      <c r="I14" s="27">
        <f t="shared" si="1"/>
        <v>5</v>
      </c>
      <c r="J14" s="27" t="str">
        <f t="shared" si="2"/>
        <v>COMPOUNDER</v>
      </c>
    </row>
    <row r="15" spans="1:10" x14ac:dyDescent="0.3">
      <c r="A15" s="19" t="str">
        <f>Calculations!A14</f>
        <v>Tesla (TSLA)</v>
      </c>
      <c r="B15" s="22">
        <f>Calculations!H14</f>
        <v>3.7534238488783941E-2</v>
      </c>
      <c r="C15" s="22">
        <f>Calculations!F14</f>
        <v>0.15341517119244391</v>
      </c>
      <c r="D15" s="25">
        <f t="shared" si="0"/>
        <v>-0.11588093270365997</v>
      </c>
      <c r="E15" s="22">
        <f>Calculations!O14</f>
        <v>-0.99720798158096713</v>
      </c>
      <c r="F15" s="22">
        <f>Calculations!I14</f>
        <v>4.5765983112183356E-2</v>
      </c>
      <c r="G15" s="22">
        <f>Calculations!J14</f>
        <v>2.7531457266011639E-2</v>
      </c>
      <c r="H15" s="26">
        <f>Calculations!G14-(Calculations!C14*Calculations!F14)</f>
        <v>-9815.1149999999998</v>
      </c>
      <c r="I15" s="27">
        <f t="shared" si="1"/>
        <v>0</v>
      </c>
      <c r="J15" s="27" t="str">
        <f t="shared" si="2"/>
        <v>NOT YET A COMPOUNDER</v>
      </c>
    </row>
    <row r="16" spans="1:10" x14ac:dyDescent="0.3">
      <c r="A16" s="19" t="str">
        <f>Calculations!A15</f>
        <v>Constellation Software (CSU)</v>
      </c>
      <c r="B16" s="22">
        <f>Calculations!H15</f>
        <v>0.13405282847749689</v>
      </c>
      <c r="C16" s="22">
        <f>Calculations!F15</f>
        <v>5.646626142160753E-2</v>
      </c>
      <c r="D16" s="25">
        <f t="shared" si="0"/>
        <v>7.7586567055889358E-2</v>
      </c>
      <c r="E16" s="22">
        <f>Calculations!O15</f>
        <v>5.2716166788588224E-2</v>
      </c>
      <c r="F16" s="22">
        <f>Calculations!I15</f>
        <v>0.11999062573236466</v>
      </c>
      <c r="G16" s="22">
        <f>Calculations!J15</f>
        <v>3.1661616473934819E-2</v>
      </c>
      <c r="H16" s="26">
        <f>Calculations!G15-(Calculations!C15*Calculations!F15)</f>
        <v>684.39110800000003</v>
      </c>
      <c r="I16" s="27">
        <f t="shared" si="1"/>
        <v>2</v>
      </c>
      <c r="J16" s="27" t="str">
        <f t="shared" si="2"/>
        <v>POTENTIAL COMPOUNDER</v>
      </c>
    </row>
    <row r="17" spans="1:10" x14ac:dyDescent="0.3">
      <c r="A17" s="19" t="str">
        <f>Calculations!A16</f>
        <v>Samsara (IOT)</v>
      </c>
      <c r="B17" s="22">
        <f>Calculations!H16</f>
        <v>-3.5235798499464094E-2</v>
      </c>
      <c r="C17" s="22">
        <f>Calculations!F16</f>
        <v>0.12518220793140408</v>
      </c>
      <c r="D17" s="25">
        <f t="shared" si="0"/>
        <v>-0.16041800643086818</v>
      </c>
      <c r="E17" s="22">
        <f>Calculations!O16</f>
        <v>0.32420953279848991</v>
      </c>
      <c r="F17" s="22">
        <f>Calculations!I16</f>
        <v>-6.4084507042253521E-3</v>
      </c>
      <c r="G17" s="22">
        <f>Calculations!J16</f>
        <v>-3.5812672176308538E-3</v>
      </c>
      <c r="H17" s="26">
        <f>Calculations!G16-(Calculations!C16*Calculations!F16)</f>
        <v>-239.47200000000001</v>
      </c>
      <c r="I17" s="27">
        <f t="shared" si="1"/>
        <v>1</v>
      </c>
      <c r="J17" s="27" t="str">
        <f t="shared" si="2"/>
        <v>NOT YET A COMPOUNDER</v>
      </c>
    </row>
    <row r="18" spans="1:10" x14ac:dyDescent="0.3">
      <c r="A18" s="19" t="str">
        <f>Calculations!A17</f>
        <v>Comfort Systems (FIX)</v>
      </c>
      <c r="B18" s="22">
        <f>Calculations!H17</f>
        <v>0.4009888203546646</v>
      </c>
      <c r="C18" s="22">
        <f>Calculations!F17</f>
        <v>0.12490813030069393</v>
      </c>
      <c r="D18" s="25">
        <f t="shared" si="0"/>
        <v>0.27608069005397068</v>
      </c>
      <c r="E18" s="22">
        <f>Calculations!O17</f>
        <v>0.55170620202266352</v>
      </c>
      <c r="F18" s="22">
        <f>Calculations!I17</f>
        <v>0.41772151898734178</v>
      </c>
      <c r="G18" s="22">
        <f>Calculations!J17</f>
        <v>0.15882626921285514</v>
      </c>
      <c r="H18" s="26">
        <f>Calculations!G17-(Calculations!C17*Calculations!F17)</f>
        <v>716.15330999999992</v>
      </c>
      <c r="I18" s="27">
        <f t="shared" si="1"/>
        <v>5</v>
      </c>
      <c r="J18" s="27" t="str">
        <f t="shared" si="2"/>
        <v>COMPOUNDER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00"/>
  </sheetPr>
  <dimension ref="A1:M16"/>
  <sheetViews>
    <sheetView workbookViewId="0">
      <selection sqref="A1:H1"/>
    </sheetView>
  </sheetViews>
  <sheetFormatPr defaultRowHeight="14.4" x14ac:dyDescent="0.3"/>
  <cols>
    <col min="1" max="1" width="22" customWidth="1"/>
    <col min="2" max="2" width="14" customWidth="1"/>
    <col min="3" max="4" width="12" customWidth="1"/>
    <col min="5" max="5" width="10" customWidth="1"/>
    <col min="6" max="7" width="14" customWidth="1"/>
    <col min="8" max="8" width="8" customWidth="1"/>
    <col min="9" max="10" width="10" customWidth="1"/>
    <col min="11" max="11" width="12" customWidth="1"/>
    <col min="12" max="12" width="14" customWidth="1"/>
    <col min="13" max="13" width="20" customWidth="1"/>
  </cols>
  <sheetData>
    <row r="1" spans="1:13" ht="17.399999999999999" x14ac:dyDescent="0.3">
      <c r="A1" s="46" t="s">
        <v>57</v>
      </c>
      <c r="B1" s="47"/>
      <c r="C1" s="47"/>
      <c r="D1" s="47"/>
      <c r="E1" s="47"/>
      <c r="F1" s="47"/>
      <c r="G1" s="47"/>
      <c r="H1" s="47"/>
    </row>
    <row r="3" spans="1:13" x14ac:dyDescent="0.3">
      <c r="A3" s="28" t="s">
        <v>58</v>
      </c>
    </row>
    <row r="4" spans="1:13" x14ac:dyDescent="0.3">
      <c r="A4" s="29" t="s">
        <v>59</v>
      </c>
    </row>
    <row r="5" spans="1:13" x14ac:dyDescent="0.3">
      <c r="A5" s="29" t="s">
        <v>60</v>
      </c>
    </row>
    <row r="6" spans="1:13" x14ac:dyDescent="0.3">
      <c r="A6" s="29" t="s">
        <v>61</v>
      </c>
    </row>
    <row r="7" spans="1:13" x14ac:dyDescent="0.3">
      <c r="A7" s="29" t="s">
        <v>62</v>
      </c>
    </row>
    <row r="8" spans="1:13" x14ac:dyDescent="0.3">
      <c r="A8" s="29" t="s">
        <v>63</v>
      </c>
    </row>
    <row r="10" spans="1:13" x14ac:dyDescent="0.3">
      <c r="A10" s="4" t="s">
        <v>64</v>
      </c>
      <c r="B10" s="4" t="s">
        <v>65</v>
      </c>
      <c r="C10" s="4" t="s">
        <v>66</v>
      </c>
      <c r="D10" s="4" t="s">
        <v>6</v>
      </c>
      <c r="E10" s="4" t="s">
        <v>11</v>
      </c>
      <c r="F10" s="4" t="s">
        <v>42</v>
      </c>
      <c r="G10" s="4" t="s">
        <v>8</v>
      </c>
      <c r="H10" s="4" t="s">
        <v>12</v>
      </c>
      <c r="I10" s="4" t="s">
        <v>41</v>
      </c>
      <c r="J10" s="4" t="s">
        <v>43</v>
      </c>
      <c r="K10" s="4" t="s">
        <v>53</v>
      </c>
      <c r="L10" s="4" t="s">
        <v>54</v>
      </c>
      <c r="M10" s="4" t="s">
        <v>67</v>
      </c>
    </row>
    <row r="11" spans="1:13" x14ac:dyDescent="0.3">
      <c r="A11" s="30" t="s">
        <v>68</v>
      </c>
      <c r="B11" s="31">
        <v>2756</v>
      </c>
      <c r="C11" s="32">
        <v>0.251</v>
      </c>
      <c r="D11" s="21">
        <f t="shared" ref="D11:D16" si="0">B11*C11</f>
        <v>691.75599999999997</v>
      </c>
      <c r="E11" s="33">
        <v>0.223</v>
      </c>
      <c r="F11" s="21">
        <f t="shared" ref="F11:F16" si="1">D11*(1-E11)</f>
        <v>537.49441200000001</v>
      </c>
      <c r="G11" s="31">
        <v>5832</v>
      </c>
      <c r="H11" s="34">
        <v>1.1000000000000001</v>
      </c>
      <c r="I11" s="20">
        <f>Inputs!$B$4+H11*Inputs!$B$5</f>
        <v>0.10300000000000001</v>
      </c>
      <c r="J11" s="22">
        <f t="shared" ref="J11:J16" si="2">IF(G11=0,0,F11/G11)</f>
        <v>9.2162965020576137E-2</v>
      </c>
      <c r="K11" s="25">
        <f t="shared" ref="K11:K16" si="3">J11-I11</f>
        <v>-1.0837034979423871E-2</v>
      </c>
      <c r="L11" s="35">
        <f t="shared" ref="L11:L16" si="4">F11-(G11*I11)</f>
        <v>-63.201588000000015</v>
      </c>
      <c r="M11" s="30" t="str">
        <f t="shared" ref="M11:M16" si="5">IF(L11&gt;0,"CREATING VALUE","DESTROYING VALUE")</f>
        <v>DESTROYING VALUE</v>
      </c>
    </row>
    <row r="12" spans="1:13" x14ac:dyDescent="0.3">
      <c r="A12" s="36" t="s">
        <v>69</v>
      </c>
      <c r="B12" s="31">
        <v>3195</v>
      </c>
      <c r="C12" s="32">
        <v>0.45</v>
      </c>
      <c r="D12" s="17">
        <f t="shared" si="0"/>
        <v>1437.75</v>
      </c>
      <c r="E12" s="37">
        <v>0.22</v>
      </c>
      <c r="F12" s="17">
        <f t="shared" si="1"/>
        <v>1121.4449999999999</v>
      </c>
      <c r="G12" s="31">
        <v>6500</v>
      </c>
      <c r="H12" s="34">
        <v>1.08</v>
      </c>
      <c r="I12" s="16">
        <f>Inputs!$B$4+H12*Inputs!$B$5</f>
        <v>0.1019</v>
      </c>
      <c r="J12" s="18">
        <f t="shared" si="2"/>
        <v>0.17252999999999999</v>
      </c>
      <c r="K12" s="38">
        <f t="shared" si="3"/>
        <v>7.0629999999999984E-2</v>
      </c>
      <c r="L12" s="39">
        <f t="shared" si="4"/>
        <v>459.09499999999991</v>
      </c>
      <c r="M12" s="36" t="str">
        <f t="shared" si="5"/>
        <v>CREATING VALUE</v>
      </c>
    </row>
    <row r="13" spans="1:13" x14ac:dyDescent="0.3">
      <c r="A13" s="30" t="s">
        <v>70</v>
      </c>
      <c r="B13" s="31">
        <v>3590</v>
      </c>
      <c r="C13" s="32">
        <v>0.44</v>
      </c>
      <c r="D13" s="21">
        <f t="shared" si="0"/>
        <v>1579.6</v>
      </c>
      <c r="E13" s="33">
        <v>0.22</v>
      </c>
      <c r="F13" s="21">
        <f t="shared" si="1"/>
        <v>1232.088</v>
      </c>
      <c r="G13" s="31">
        <v>7200</v>
      </c>
      <c r="H13" s="34">
        <v>1.06</v>
      </c>
      <c r="I13" s="20">
        <f>Inputs!$B$4+H13*Inputs!$B$5</f>
        <v>0.1008</v>
      </c>
      <c r="J13" s="22">
        <f t="shared" si="2"/>
        <v>0.17112333333333332</v>
      </c>
      <c r="K13" s="25">
        <f t="shared" si="3"/>
        <v>7.0323333333333321E-2</v>
      </c>
      <c r="L13" s="35">
        <f t="shared" si="4"/>
        <v>506.32799999999997</v>
      </c>
      <c r="M13" s="30" t="str">
        <f t="shared" si="5"/>
        <v>CREATING VALUE</v>
      </c>
    </row>
    <row r="14" spans="1:13" x14ac:dyDescent="0.3">
      <c r="A14" s="36" t="s">
        <v>71</v>
      </c>
      <c r="B14" s="31">
        <v>4100</v>
      </c>
      <c r="C14" s="32">
        <v>0.4</v>
      </c>
      <c r="D14" s="17">
        <f t="shared" si="0"/>
        <v>1640</v>
      </c>
      <c r="E14" s="37">
        <v>0.22</v>
      </c>
      <c r="F14" s="17">
        <f t="shared" si="1"/>
        <v>1279.2</v>
      </c>
      <c r="G14" s="31">
        <v>8000</v>
      </c>
      <c r="H14" s="34">
        <v>1.04</v>
      </c>
      <c r="I14" s="16">
        <f>Inputs!$B$4+H14*Inputs!$B$5</f>
        <v>9.9700000000000011E-2</v>
      </c>
      <c r="J14" s="18">
        <f t="shared" si="2"/>
        <v>0.15990000000000001</v>
      </c>
      <c r="K14" s="38">
        <f t="shared" si="3"/>
        <v>6.0200000000000004E-2</v>
      </c>
      <c r="L14" s="39">
        <f t="shared" si="4"/>
        <v>481.59999999999991</v>
      </c>
      <c r="M14" s="36" t="str">
        <f t="shared" si="5"/>
        <v>CREATING VALUE</v>
      </c>
    </row>
    <row r="15" spans="1:13" x14ac:dyDescent="0.3">
      <c r="A15" s="30" t="s">
        <v>72</v>
      </c>
      <c r="B15" s="31">
        <v>5000</v>
      </c>
      <c r="C15" s="32">
        <v>0.37</v>
      </c>
      <c r="D15" s="21">
        <f t="shared" si="0"/>
        <v>1850</v>
      </c>
      <c r="E15" s="33">
        <v>0.22</v>
      </c>
      <c r="F15" s="21">
        <f t="shared" si="1"/>
        <v>1443</v>
      </c>
      <c r="G15" s="31">
        <v>9000</v>
      </c>
      <c r="H15" s="34">
        <v>1.02</v>
      </c>
      <c r="I15" s="20">
        <f>Inputs!$B$4+H15*Inputs!$B$5</f>
        <v>9.8600000000000007E-2</v>
      </c>
      <c r="J15" s="22">
        <f t="shared" si="2"/>
        <v>0.16033333333333333</v>
      </c>
      <c r="K15" s="25">
        <f t="shared" si="3"/>
        <v>6.1733333333333321E-2</v>
      </c>
      <c r="L15" s="35">
        <f t="shared" si="4"/>
        <v>555.59999999999991</v>
      </c>
      <c r="M15" s="30" t="str">
        <f t="shared" si="5"/>
        <v>CREATING VALUE</v>
      </c>
    </row>
    <row r="16" spans="1:13" x14ac:dyDescent="0.3">
      <c r="A16" s="36" t="s">
        <v>73</v>
      </c>
      <c r="B16" s="31">
        <v>6000</v>
      </c>
      <c r="C16" s="32">
        <v>0.35</v>
      </c>
      <c r="D16" s="17">
        <f t="shared" si="0"/>
        <v>2100</v>
      </c>
      <c r="E16" s="37">
        <v>0.22</v>
      </c>
      <c r="F16" s="17">
        <f t="shared" si="1"/>
        <v>1638</v>
      </c>
      <c r="G16" s="31">
        <v>10000</v>
      </c>
      <c r="H16" s="34">
        <v>1</v>
      </c>
      <c r="I16" s="16">
        <f>Inputs!$B$4+H16*Inputs!$B$5</f>
        <v>9.7500000000000003E-2</v>
      </c>
      <c r="J16" s="18">
        <f t="shared" si="2"/>
        <v>0.1638</v>
      </c>
      <c r="K16" s="38">
        <f t="shared" si="3"/>
        <v>6.6299999999999998E-2</v>
      </c>
      <c r="L16" s="39">
        <f t="shared" si="4"/>
        <v>663</v>
      </c>
      <c r="M16" s="36" t="str">
        <f t="shared" si="5"/>
        <v>CREATING VALUE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C28"/>
  <sheetViews>
    <sheetView topLeftCell="A15" workbookViewId="0">
      <selection sqref="A1:C1"/>
    </sheetView>
  </sheetViews>
  <sheetFormatPr defaultRowHeight="14.4" x14ac:dyDescent="0.3"/>
  <cols>
    <col min="1" max="1" width="20" customWidth="1"/>
    <col min="2" max="2" width="45" customWidth="1"/>
    <col min="3" max="3" width="55" customWidth="1"/>
  </cols>
  <sheetData>
    <row r="1" spans="1:3" ht="17.399999999999999" x14ac:dyDescent="0.3">
      <c r="A1" s="46" t="s">
        <v>74</v>
      </c>
      <c r="B1" s="47"/>
      <c r="C1" s="47"/>
    </row>
    <row r="3" spans="1:3" x14ac:dyDescent="0.3">
      <c r="A3" s="40" t="s">
        <v>75</v>
      </c>
      <c r="B3" s="40" t="s">
        <v>76</v>
      </c>
      <c r="C3" s="40" t="s">
        <v>77</v>
      </c>
    </row>
    <row r="4" spans="1:3" x14ac:dyDescent="0.3">
      <c r="A4" s="36" t="s">
        <v>78</v>
      </c>
      <c r="B4" s="41" t="s">
        <v>79</v>
      </c>
      <c r="C4" s="41" t="s">
        <v>80</v>
      </c>
    </row>
    <row r="5" spans="1:3" x14ac:dyDescent="0.3">
      <c r="A5" s="30" t="s">
        <v>81</v>
      </c>
      <c r="B5" s="42" t="s">
        <v>82</v>
      </c>
      <c r="C5" s="42" t="s">
        <v>83</v>
      </c>
    </row>
    <row r="6" spans="1:3" x14ac:dyDescent="0.3">
      <c r="A6" s="36" t="s">
        <v>41</v>
      </c>
      <c r="B6" s="41" t="s">
        <v>84</v>
      </c>
      <c r="C6" s="41" t="s">
        <v>85</v>
      </c>
    </row>
    <row r="7" spans="1:3" x14ac:dyDescent="0.3">
      <c r="A7" s="30" t="s">
        <v>37</v>
      </c>
      <c r="B7" s="42" t="s">
        <v>86</v>
      </c>
      <c r="C7" s="42" t="s">
        <v>87</v>
      </c>
    </row>
    <row r="8" spans="1:3" x14ac:dyDescent="0.3">
      <c r="A8" s="36" t="s">
        <v>43</v>
      </c>
      <c r="B8" s="41" t="s">
        <v>88</v>
      </c>
      <c r="C8" s="41" t="s">
        <v>89</v>
      </c>
    </row>
    <row r="9" spans="1:3" x14ac:dyDescent="0.3">
      <c r="A9" s="30" t="s">
        <v>90</v>
      </c>
      <c r="B9" s="42" t="s">
        <v>91</v>
      </c>
      <c r="C9" s="42" t="s">
        <v>92</v>
      </c>
    </row>
    <row r="10" spans="1:3" x14ac:dyDescent="0.3">
      <c r="A10" s="36" t="s">
        <v>44</v>
      </c>
      <c r="B10" s="41" t="s">
        <v>93</v>
      </c>
      <c r="C10" s="41" t="s">
        <v>94</v>
      </c>
    </row>
    <row r="11" spans="1:3" x14ac:dyDescent="0.3">
      <c r="A11" s="30" t="s">
        <v>45</v>
      </c>
      <c r="B11" s="42" t="s">
        <v>95</v>
      </c>
      <c r="C11" s="42" t="s">
        <v>96</v>
      </c>
    </row>
    <row r="12" spans="1:3" x14ac:dyDescent="0.3">
      <c r="A12" s="36" t="s">
        <v>50</v>
      </c>
      <c r="B12" s="41" t="s">
        <v>97</v>
      </c>
      <c r="C12" s="41" t="s">
        <v>98</v>
      </c>
    </row>
    <row r="13" spans="1:3" x14ac:dyDescent="0.3">
      <c r="A13" s="30" t="s">
        <v>99</v>
      </c>
      <c r="B13" s="42" t="s">
        <v>100</v>
      </c>
      <c r="C13" s="42" t="s">
        <v>101</v>
      </c>
    </row>
    <row r="16" spans="1:3" x14ac:dyDescent="0.3">
      <c r="A16" s="28" t="s">
        <v>102</v>
      </c>
    </row>
    <row r="17" spans="1:3" x14ac:dyDescent="0.3">
      <c r="A17" s="40" t="s">
        <v>103</v>
      </c>
      <c r="B17" s="40" t="s">
        <v>104</v>
      </c>
      <c r="C17" s="40" t="s">
        <v>105</v>
      </c>
    </row>
    <row r="18" spans="1:3" x14ac:dyDescent="0.3">
      <c r="A18" s="42" t="s">
        <v>106</v>
      </c>
      <c r="B18" s="42" t="s">
        <v>107</v>
      </c>
      <c r="C18" s="42" t="s">
        <v>108</v>
      </c>
    </row>
    <row r="19" spans="1:3" x14ac:dyDescent="0.3">
      <c r="A19" s="42" t="s">
        <v>106</v>
      </c>
      <c r="B19" s="42" t="s">
        <v>109</v>
      </c>
      <c r="C19" s="42" t="s">
        <v>110</v>
      </c>
    </row>
    <row r="20" spans="1:3" x14ac:dyDescent="0.3">
      <c r="A20" s="42" t="s">
        <v>106</v>
      </c>
      <c r="B20" s="42" t="s">
        <v>111</v>
      </c>
      <c r="C20" s="42" t="s">
        <v>112</v>
      </c>
    </row>
    <row r="21" spans="1:3" x14ac:dyDescent="0.3">
      <c r="A21" s="42" t="s">
        <v>106</v>
      </c>
      <c r="B21" s="42" t="s">
        <v>113</v>
      </c>
      <c r="C21" s="42" t="s">
        <v>114</v>
      </c>
    </row>
    <row r="22" spans="1:3" x14ac:dyDescent="0.3">
      <c r="A22" s="42" t="s">
        <v>106</v>
      </c>
      <c r="B22" s="42" t="s">
        <v>115</v>
      </c>
      <c r="C22" s="42" t="s">
        <v>116</v>
      </c>
    </row>
    <row r="24" spans="1:3" x14ac:dyDescent="0.3">
      <c r="A24" s="43" t="s">
        <v>117</v>
      </c>
    </row>
    <row r="25" spans="1:3" x14ac:dyDescent="0.3">
      <c r="A25" s="44" t="s">
        <v>118</v>
      </c>
    </row>
    <row r="26" spans="1:3" x14ac:dyDescent="0.3">
      <c r="A26" s="45" t="s">
        <v>119</v>
      </c>
    </row>
    <row r="28" spans="1:3" x14ac:dyDescent="0.3">
      <c r="A28" s="23" t="s">
        <v>120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Calculations</vt:lpstr>
      <vt:lpstr>EVA Dashboard</vt:lpstr>
      <vt:lpstr>Veeva Projection</vt:lpstr>
      <vt:lpstr>Formulas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ampsson ampsson</cp:lastModifiedBy>
  <dcterms:created xsi:type="dcterms:W3CDTF">2026-03-13T23:27:04Z</dcterms:created>
  <dcterms:modified xsi:type="dcterms:W3CDTF">2026-03-13T23:38:12Z</dcterms:modified>
</cp:coreProperties>
</file>