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Unusual Volume" sheetId="2" state="visible" r:id="rId4"/>
    <sheet name="SEC Filings" sheetId="3" state="visible" r:id="rId5"/>
    <sheet name="FDA Catalysts" sheetId="4" state="visible" r:id="rId6"/>
    <sheet name="Social Buzz" sheetId="5" state="visible" r:id="rId7"/>
    <sheet name="Conferences" sheetId="6" state="visible" r:id="rId8"/>
  </sheets>
  <definedNames>
    <definedName function="false" hidden="true" localSheetId="5" name="_xlnm._FilterDatabase" vbProcedure="false">Conferences!$A$2:$H$8</definedName>
    <definedName function="false" hidden="true" localSheetId="3" name="_xlnm._FilterDatabase" vbProcedure="false">'FDA Catalysts'!$A$2:$I$12</definedName>
    <definedName function="false" hidden="true" localSheetId="2" name="_xlnm._FilterDatabase" vbProcedure="false">'SEC Filings'!$A$3:$I$7</definedName>
    <definedName function="false" hidden="true" localSheetId="4" name="_xlnm._FilterDatabase" vbProcedure="false">'Social Buzz'!$A$2:$H$8</definedName>
    <definedName function="false" hidden="true" localSheetId="1" name="_xlnm._FilterDatabase" vbProcedure="false">'Unusual Volume'!$A$2:$J$12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<sst xmlns="http://schemas.openxmlformats.org/spreadsheetml/2006/main" count="442" uniqueCount="344">
  <si>
    <t xml:space="preserve">BIOTECH SCUTTLEBUTT SCANNER — Daily Intelligence Report</t>
  </si>
  <si>
    <t xml:space="preserve">Report Date: March 26, 2026  |  Focus: Small-Cap &amp; Micro-Cap Biotech (Sub-$2B Market Cap)</t>
  </si>
  <si>
    <t xml:space="preserve">Category</t>
  </si>
  <si>
    <t xml:space="preserve">Total Signals</t>
  </si>
  <si>
    <t xml:space="preserve">HIGH Alerts</t>
  </si>
  <si>
    <t xml:space="preserve">MEDIUM Alerts</t>
  </si>
  <si>
    <t xml:space="preserve">No Signal / Low</t>
  </si>
  <si>
    <t xml:space="preserve">Key Tickers</t>
  </si>
  <si>
    <t xml:space="preserve">Data Source</t>
  </si>
  <si>
    <t xml:space="preserve">Notes</t>
  </si>
  <si>
    <t xml:space="preserve">Volume / Price Movers</t>
  </si>
  <si>
    <t xml:space="preserve">IBRX, MBRX, LQDA, RCKT, TYRA, COGT</t>
  </si>
  <si>
    <t xml:space="preserve">MarketBeat, Yahoo Finance, Zacks, Motley Fool</t>
  </si>
  <si>
    <t xml:space="preserve">Small-cap rotation underway; Russell 2000 +8% YTD</t>
  </si>
  <si>
    <t xml:space="preserve">SEC Filings (Form 4 / 13D)</t>
  </si>
  <si>
    <t xml:space="preserve">EDSA (13D), BBIO (sell), ADPT</t>
  </si>
  <si>
    <t xml:space="preserve">SEC EDGAR, StockTitan, OpenInsider</t>
  </si>
  <si>
    <t xml:space="preserve">Watch EDSA 19.99% activist stake; BBIO CEO selling (bearish)</t>
  </si>
  <si>
    <t xml:space="preserve">FDA &amp; Clinical Catalysts</t>
  </si>
  <si>
    <t xml:space="preserve">RCKT (Mar 28), LNTH (Mar 29), VRTX, MBRX</t>
  </si>
  <si>
    <t xml:space="preserve">RTTNews, BiopharmaWatch, MarketBeat, FDATracker</t>
  </si>
  <si>
    <t xml:space="preserve">RCKT PDUFA in 48 hrs is top catalyst</t>
  </si>
  <si>
    <t xml:space="preserve">Social Sentiment / Buzz</t>
  </si>
  <si>
    <t xml:space="preserve">IBRX, TERN, LQDA</t>
  </si>
  <si>
    <t xml:space="preserve">StockTwits, Reddit WSB, InvestorIdeas</t>
  </si>
  <si>
    <t xml:space="preserve">WSB community moving into biotech sector</t>
  </si>
  <si>
    <t xml:space="preserve">Conferences</t>
  </si>
  <si>
    <t xml:space="preserve">AACR (Apr 17-22, San Diego)</t>
  </si>
  <si>
    <t xml:space="preserve">AACR.org, BioPharma Dive</t>
  </si>
  <si>
    <t xml:space="preserve">Oncology abstract publications expected early April</t>
  </si>
  <si>
    <t xml:space="preserve">TOTAL</t>
  </si>
  <si>
    <t xml:space="preserve">—</t>
  </si>
  <si>
    <t xml:space="preserve">Multi-signal stocks: RCKT (3), IBRX (4), MBRX (3)</t>
  </si>
  <si>
    <t xml:space="preserve">★  MULTI-SIGNAL PRIORITY STOCKS  ★</t>
  </si>
  <si>
    <t xml:space="preserve">Ticker</t>
  </si>
  <si>
    <t xml:space="preserve">Company</t>
  </si>
  <si>
    <t xml:space="preserve">Signal Count</t>
  </si>
  <si>
    <t xml:space="preserve">Vol/Price</t>
  </si>
  <si>
    <t xml:space="preserve">SEC Filing</t>
  </si>
  <si>
    <t xml:space="preserve">FDA/Clinical</t>
  </si>
  <si>
    <t xml:space="preserve">Social</t>
  </si>
  <si>
    <t xml:space="preserve">Priority Action</t>
  </si>
  <si>
    <t xml:space="preserve">IBRX</t>
  </si>
  <si>
    <t xml:space="preserve">ImmunityBio</t>
  </si>
  <si>
    <t xml:space="preserve">YES (+8.78%)</t>
  </si>
  <si>
    <t xml:space="preserve">sBLA 8-K filed</t>
  </si>
  <si>
    <t xml:space="preserve">NCCN + sBLA</t>
  </si>
  <si>
    <t xml:space="preserve">HIGH buzz</t>
  </si>
  <si>
    <t xml:space="preserve">HIGHEST PRIORITY: 4 signals. Volatile. Monitor for reversal or further NCCN/FDA news.</t>
  </si>
  <si>
    <t xml:space="preserve">RCKT</t>
  </si>
  <si>
    <t xml:space="preserve">Rocket Pharmaceuticals</t>
  </si>
  <si>
    <t xml:space="preserve">Pre-event options</t>
  </si>
  <si>
    <t xml:space="preserve">8-K accepted BLA</t>
  </si>
  <si>
    <t xml:space="preserve">PDUFA Mar 28</t>
  </si>
  <si>
    <t xml:space="preserve">Monitoring</t>
  </si>
  <si>
    <t xml:space="preserve">48 HOURS: Binary PDUFA event. 100% OS gene therapy. PRV worth ~$150M if approved.</t>
  </si>
  <si>
    <t xml:space="preserve">MBRX</t>
  </si>
  <si>
    <t xml:space="preserve">Moleculin Biotech</t>
  </si>
  <si>
    <t xml:space="preserve">Catalyst-watch</t>
  </si>
  <si>
    <t xml:space="preserve">10-K + 8-K Mar 19</t>
  </si>
  <si>
    <t xml:space="preserve">Phase 3 milestone</t>
  </si>
  <si>
    <t xml:space="preserve">Analyst upgrades</t>
  </si>
  <si>
    <t xml:space="preserve">MEDIUM-HIGH: Milestone hit Mar 23. Mid-2026 interim data. Penny stock with analyst buy ratings.</t>
  </si>
  <si>
    <t xml:space="preserve">UNUSUAL VOLUME &amp; PRICE MOVERS — March 26, 2026</t>
  </si>
  <si>
    <t xml:space="preserve">Price ($)*</t>
  </si>
  <si>
    <t xml:space="preserve">Daily % Chg</t>
  </si>
  <si>
    <t xml:space="preserve">6-Mo % Chg</t>
  </si>
  <si>
    <t xml:space="preserve">Vol. Signal</t>
  </si>
  <si>
    <t xml:space="preserve">Market Cap</t>
  </si>
  <si>
    <t xml:space="preserve">Signal Level</t>
  </si>
  <si>
    <t xml:space="preserve">Key Catalyst</t>
  </si>
  <si>
    <t xml:space="preserve">Source</t>
  </si>
  <si>
    <t xml:space="preserve">~$3-5</t>
  </si>
  <si>
    <t xml:space="preserve">+8.78% (3/25)</t>
  </si>
  <si>
    <t xml:space="preserve">Volatile</t>
  </si>
  <si>
    <t xml:space="preserve">&gt;3x avg</t>
  </si>
  <si>
    <t xml:space="preserve">~$1.2B</t>
  </si>
  <si>
    <t xml:space="preserve">HIGH</t>
  </si>
  <si>
    <t xml:space="preserve">sBLA resubmission; NCCN guideline inclusion; NK cell mfg breakthrough; -21% day prior</t>
  </si>
  <si>
    <t xml:space="preserve">Simply Wall St / StockTitan</t>
  </si>
  <si>
    <t xml:space="preserve">Rocket Pharma</t>
  </si>
  <si>
    <t xml:space="preserve">~$8-12</t>
  </si>
  <si>
    <t xml:space="preserve">Pre-event</t>
  </si>
  <si>
    <t xml:space="preserve">Options vol</t>
  </si>
  <si>
    <t xml:space="preserve">Micro-cap</t>
  </si>
  <si>
    <t xml:space="preserve">PDUFA March 28 in 48 hrs. Binary event. Gene therapy for rare LAD-I. 100% OS.</t>
  </si>
  <si>
    <t xml:space="preserve">StockTitan / RTTNews / BusinessWire</t>
  </si>
  <si>
    <t xml:space="preserve">~$2.06</t>
  </si>
  <si>
    <t xml:space="preserve">Flat/Catalyst</t>
  </si>
  <si>
    <t xml:space="preserve">-92% YoY</t>
  </si>
  <si>
    <t xml:space="preserve">MEDIUM</t>
  </si>
  <si>
    <t xml:space="preserve">Phase 3 AML MIRACLE trial hit 45-subject enrollment milestone March 23, 2026</t>
  </si>
  <si>
    <t xml:space="preserve">GlobeNewswire / Investing.com</t>
  </si>
  <si>
    <t xml:space="preserve">LQDA</t>
  </si>
  <si>
    <t xml:space="preserve">Liquidia Corporation</t>
  </si>
  <si>
    <t xml:space="preserve">Market</t>
  </si>
  <si>
    <t xml:space="preserve">Momentum</t>
  </si>
  <si>
    <t xml:space="preserve">+40.3%</t>
  </si>
  <si>
    <t xml:space="preserve">Sustained vol</t>
  </si>
  <si>
    <t xml:space="preserve">Small-cap</t>
  </si>
  <si>
    <t xml:space="preserve">Strong PH franchise; EPS consensus doubled to $2.14; Zacks featured pick</t>
  </si>
  <si>
    <t xml:space="preserve">Zacks / Yahoo Finance</t>
  </si>
  <si>
    <t xml:space="preserve">TYRA</t>
  </si>
  <si>
    <t xml:space="preserve">Tyra Biosciences</t>
  </si>
  <si>
    <t xml:space="preserve">~$22-37</t>
  </si>
  <si>
    <t xml:space="preserve">+59% YTD</t>
  </si>
  <si>
    <t xml:space="preserve">~$2B</t>
  </si>
  <si>
    <t xml:space="preserve">Wedbush Best Ideas; 3 Phase 2 trials in 2026; ATH $36.96 on Mar 13</t>
  </si>
  <si>
    <t xml:space="preserve">Investing.com / StockTitan</t>
  </si>
  <si>
    <t xml:space="preserve">COGT</t>
  </si>
  <si>
    <t xml:space="preserve">Cogent Biosciences</t>
  </si>
  <si>
    <t xml:space="preserve">M&amp;A rumors</t>
  </si>
  <si>
    <t xml:space="preserve">Strong</t>
  </si>
  <si>
    <t xml:space="preserve">M&amp;A-driven</t>
  </si>
  <si>
    <t xml:space="preserve">Named as small-cap M&amp;A acquisition target; pharma patent cliff buying spree</t>
  </si>
  <si>
    <t xml:space="preserve">FinancialContent / MarketBeat</t>
  </si>
  <si>
    <t xml:space="preserve">GPCR</t>
  </si>
  <si>
    <t xml:space="preserve">Structure Therapeutics</t>
  </si>
  <si>
    <t xml:space="preserve">Named as small-cap M&amp;A acquisition target alongside COGT</t>
  </si>
  <si>
    <t xml:space="preserve">FinancialContent</t>
  </si>
  <si>
    <t xml:space="preserve">MNMD</t>
  </si>
  <si>
    <t xml:space="preserve">Mind Medicine</t>
  </si>
  <si>
    <t xml:space="preserve">Breakout watch</t>
  </si>
  <si>
    <t xml:space="preserve">Varied</t>
  </si>
  <si>
    <t xml:space="preserve">Breakout</t>
  </si>
  <si>
    <t xml:space="preserve">LOW</t>
  </si>
  <si>
    <t xml:space="preserve">Listed as high-risk/high-reward breakthrough stock for 2026 by Nasdaq</t>
  </si>
  <si>
    <t xml:space="preserve">Nasdaq.com</t>
  </si>
  <si>
    <t xml:space="preserve">OCGN</t>
  </si>
  <si>
    <t xml:space="preserve">Ocugen</t>
  </si>
  <si>
    <t xml:space="preserve">TERN</t>
  </si>
  <si>
    <t xml:space="preserve">Terns Pharmaceuticals</t>
  </si>
  <si>
    <t xml:space="preserve">Active</t>
  </si>
  <si>
    <t xml:space="preserve">Social-driven</t>
  </si>
  <si>
    <t xml:space="preserve">High StockTwits activity; listed among small-cap momentum biotech plays</t>
  </si>
  <si>
    <t xml:space="preserve">StockTwits / BiopharmaWatch</t>
  </si>
  <si>
    <t xml:space="preserve">* Prices are approximate based on search data as of report date. Verify real-time prices before trading. | Source: MarketBeat, Yahoo Finance, Zacks, Nasdaq.com, FinancialContent (searches conducted March 26, 2026)</t>
  </si>
  <si>
    <t xml:space="preserve">SEC FILING ALERTS — Insider Buys, 13D Filings &amp; 8-K Catalysts — March 26, 2026</t>
  </si>
  <si>
    <t xml:space="preserve">13D / Activist Accumulation</t>
  </si>
  <si>
    <t xml:space="preserve">Filing Type</t>
  </si>
  <si>
    <t xml:space="preserve">Filer / Insider</t>
  </si>
  <si>
    <t xml:space="preserve">Role</t>
  </si>
  <si>
    <t xml:space="preserve">Date</t>
  </si>
  <si>
    <t xml:space="preserve">Shares / $Amount</t>
  </si>
  <si>
    <t xml:space="preserve">Signal</t>
  </si>
  <si>
    <t xml:space="preserve">EDSA</t>
  </si>
  <si>
    <t xml:space="preserve">Edesa Biotech</t>
  </si>
  <si>
    <t xml:space="preserve">13D/A (amended)</t>
  </si>
  <si>
    <t xml:space="preserve">Dr. Nijhawan group</t>
  </si>
  <si>
    <t xml:space="preserve">Activist / Investor</t>
  </si>
  <si>
    <t xml:space="preserve">Feb-Mar 2026</t>
  </si>
  <si>
    <t xml:space="preserve">50,571 shares; ~$1.58-$2.22/sh</t>
  </si>
  <si>
    <t xml:space="preserve">MEDIUM BUY</t>
  </si>
  <si>
    <t xml:space="preserve">19.99% stake. Open-market accumulation. PC + personal acct. Low-float penny stock catalyst.</t>
  </si>
  <si>
    <t xml:space="preserve">StockTitan / SEC EDGAR</t>
  </si>
  <si>
    <t xml:space="preserve">BBIO</t>
  </si>
  <si>
    <t xml:space="preserve">BridgeBio Pharma</t>
  </si>
  <si>
    <t xml:space="preserve">Form 4 (Grant)</t>
  </si>
  <si>
    <t xml:space="preserve">Thomas Trimarchi</t>
  </si>
  <si>
    <t xml:space="preserve">CFO / President</t>
  </si>
  <si>
    <t xml:space="preserve">Mar 2026</t>
  </si>
  <si>
    <t xml:space="preserve">59,041 RSUs granted</t>
  </si>
  <si>
    <t xml:space="preserve">NEUTRAL</t>
  </si>
  <si>
    <t xml:space="preserve">Equity compensation grant. Not open-market purchase. Informational only.</t>
  </si>
  <si>
    <t xml:space="preserve">StockTitan SEC filing</t>
  </si>
  <si>
    <t xml:space="preserve">Form 4 (Sell)</t>
  </si>
  <si>
    <t xml:space="preserve">Neil Kumar (trusts)</t>
  </si>
  <si>
    <t xml:space="preserve">CEO</t>
  </si>
  <si>
    <t xml:space="preserve">Mar 12-13 2026</t>
  </si>
  <si>
    <t xml:space="preserve">80,000 shares sold at $67-70/sh</t>
  </si>
  <si>
    <t xml:space="preserve">BEARISH</t>
  </si>
  <si>
    <t xml:space="preserve">CEO's trusts selling at high prices. Not small-cap. BBIO is ~$6B market cap. Bearish insider signal.</t>
  </si>
  <si>
    <t xml:space="preserve">ADPT</t>
  </si>
  <si>
    <t xml:space="preserve">Adaptive Biotechnologies</t>
  </si>
  <si>
    <t xml:space="preserve">Form 4</t>
  </si>
  <si>
    <t xml:space="preserve">Undisclosed insider</t>
  </si>
  <si>
    <t xml:space="preserve">TBD</t>
  </si>
  <si>
    <t xml:space="preserve">Mar 18, 2026</t>
  </si>
  <si>
    <t xml:space="preserve">Details via SEC EDGAR</t>
  </si>
  <si>
    <t xml:space="preserve">MONITOR</t>
  </si>
  <si>
    <t xml:space="preserve">Form 4 activity reported. Check OpenInsider.com for transaction details and direction.</t>
  </si>
  <si>
    <t xml:space="preserve">OpenInsider / SEC EDGAR</t>
  </si>
  <si>
    <t xml:space="preserve">RECOMMENDED ACTION: Visit OpenInsider.com and filter by SIC 2836/2835/8731 (pharma/biotech), Market Cap &lt; $2B, Date = last 7 days, Transaction = Purchase for real-time cluster buys. | Source: OpenInsider.com, SEC EDGAR, StockTitan</t>
  </si>
  <si>
    <t xml:space="preserve">FDA &amp; CLINICAL CATALYSTS — PDUFA Dates, AdComs &amp; Phase 3 Readouts — March 26, 2026</t>
  </si>
  <si>
    <t xml:space="preserve">Drug / Candidate</t>
  </si>
  <si>
    <t xml:space="preserve">Indication</t>
  </si>
  <si>
    <t xml:space="preserve">Catalyst Date</t>
  </si>
  <si>
    <t xml:space="preserve">Catalyst Type</t>
  </si>
  <si>
    <t xml:space="preserve">Trial Phase</t>
  </si>
  <si>
    <t xml:space="preserve">Notes / Clinical Data</t>
  </si>
  <si>
    <t xml:space="preserve">KRESLADI (marnetegragene autotemcel)</t>
  </si>
  <si>
    <t xml:space="preserve">Severe LAD-I (rare pediatric immune disorder)</t>
  </si>
  <si>
    <t xml:space="preserve">Mar 28, 2026</t>
  </si>
  <si>
    <t xml:space="preserve">PDUFA — BLA</t>
  </si>
  <si>
    <t xml:space="preserve">BLA resubmission</t>
  </si>
  <si>
    <t xml:space="preserve">100% OS at 12 months. All endpoints met. No treatment-related SAEs. PRV eligible (~$150M value). FDA accepted BLA Oct 2025. 48 HOURS. Source: BusinessWire/StockTitan/RTTNews</t>
  </si>
  <si>
    <t xml:space="preserve">LNTH</t>
  </si>
  <si>
    <t xml:space="preserve">Lantheus Holdings</t>
  </si>
  <si>
    <t xml:space="preserve">LNTH-2501 (Ga-68 edotreotide)</t>
  </si>
  <si>
    <t xml:space="preserve">Theranostic imaging (nuclear medicine)</t>
  </si>
  <si>
    <t xml:space="preserve">Mar 29, 2026</t>
  </si>
  <si>
    <t xml:space="preserve">PDUFA — NDA</t>
  </si>
  <si>
    <t xml:space="preserve">NDA</t>
  </si>
  <si>
    <t xml:space="preserve">Theranostics/nuclear medicine growth segment. Day after RCKT PDUFA. Source: BiopharmaWatch</t>
  </si>
  <si>
    <t xml:space="preserve">VRTX</t>
  </si>
  <si>
    <t xml:space="preserve">Vertex Pharmaceuticals</t>
  </si>
  <si>
    <t xml:space="preserve">Povetacicept</t>
  </si>
  <si>
    <t xml:space="preserve">IgA Nephropathy (RAINIER trial)</t>
  </si>
  <si>
    <t xml:space="preserve">End Mar 2026</t>
  </si>
  <si>
    <t xml:space="preserve">Phase 3 Interim / Filing</t>
  </si>
  <si>
    <t xml:space="preserve">Phase 3</t>
  </si>
  <si>
    <t xml:space="preserve">BLA submission expected end of March 2026. RAINIER interim data pending. Source: BioPharma Dive / BiopharmaWatch</t>
  </si>
  <si>
    <t xml:space="preserve">LLY</t>
  </si>
  <si>
    <t xml:space="preserve">Eli Lilly (Large Cap)</t>
  </si>
  <si>
    <t xml:space="preserve">Remternetug</t>
  </si>
  <si>
    <t xml:space="preserve">Alzheimer's Disease</t>
  </si>
  <si>
    <t xml:space="preserve">March 2026</t>
  </si>
  <si>
    <t xml:space="preserve">Phase 3 Top-line</t>
  </si>
  <si>
    <t xml:space="preserve">TRAILRUNNER-ALZ 1. 1,600+ patients. Anti-amyloid antibody. Sub-Q and IV formulations. Source: BioPharma Dive</t>
  </si>
  <si>
    <t xml:space="preserve">Annamycin</t>
  </si>
  <si>
    <t xml:space="preserve">Acute Myeloid Leukemia (AML)</t>
  </si>
  <si>
    <t xml:space="preserve">Mid-2026</t>
  </si>
  <si>
    <t xml:space="preserve">Phase 3 Interim Unblindig</t>
  </si>
  <si>
    <t xml:space="preserve">Phase 3 (MIRACLE)</t>
  </si>
  <si>
    <t xml:space="preserve">45/45 enrollment milestone hit March 23, 2026. 40% blinded CRc vs 17-18% historical. Interim unblinding imminent. Source: GlobeNewswire</t>
  </si>
  <si>
    <t xml:space="preserve">GSK</t>
  </si>
  <si>
    <t xml:space="preserve">Lynavoy (linerixibat)</t>
  </si>
  <si>
    <t xml:space="preserve">PBC Cholestatic Pruritus</t>
  </si>
  <si>
    <t xml:space="preserve">Mar 19, 2026</t>
  </si>
  <si>
    <t xml:space="preserve">FDA APPROVED</t>
  </si>
  <si>
    <t xml:space="preserve">Commercial</t>
  </si>
  <si>
    <t xml:space="preserve">APPROVED</t>
  </si>
  <si>
    <t xml:space="preserve">ALREADY APPROVED. Commercial launch catalyst for GSK. Source: RTTNews</t>
  </si>
  <si>
    <t xml:space="preserve">ALDX</t>
  </si>
  <si>
    <t xml:space="preserve">Aldeyra Therapeutics</t>
  </si>
  <si>
    <t xml:space="preserve">Reproxalap</t>
  </si>
  <si>
    <t xml:space="preserve">Dry Eye Disease</t>
  </si>
  <si>
    <t xml:space="preserve">Mar 16, 2026</t>
  </si>
  <si>
    <t xml:space="preserve">NDA (2nd attempt)</t>
  </si>
  <si>
    <t xml:space="preserve">VERIFY</t>
  </si>
  <si>
    <t xml:space="preserve">Second NDA attempt after prior rejection. PDUFA was March 16. Check SEC 8-K for outcome. Source: RTTNews</t>
  </si>
  <si>
    <t xml:space="preserve">AZ/ODAC</t>
  </si>
  <si>
    <t xml:space="preserve">AstraZeneca</t>
  </si>
  <si>
    <t xml:space="preserve">Camizestrant (oral SERD) + Truqap</t>
  </si>
  <si>
    <t xml:space="preserve">Oncology (breast cancer)</t>
  </si>
  <si>
    <t xml:space="preserve">Apr 30, 2026</t>
  </si>
  <si>
    <t xml:space="preserve">FDA AdCom (ODAC)</t>
  </si>
  <si>
    <t xml:space="preserve">NDA review</t>
  </si>
  <si>
    <t xml:space="preserve">First FDA AdCom in 9+ months. Breaks 9-month AdCom hiatus. Source: FierceBiotech</t>
  </si>
  <si>
    <t xml:space="preserve">NTLA</t>
  </si>
  <si>
    <t xml:space="preserve">Intellia Therapeutics</t>
  </si>
  <si>
    <t xml:space="preserve">Lonvo-z</t>
  </si>
  <si>
    <t xml:space="preserve">Hereditary Angioedema</t>
  </si>
  <si>
    <t xml:space="preserve">H1 2026</t>
  </si>
  <si>
    <t xml:space="preserve">Phase 3 Readout</t>
  </si>
  <si>
    <t xml:space="preserve">CRISPR gene editing therapy. First half 2026 expected. Source: BioPharma Dive</t>
  </si>
  <si>
    <t xml:space="preserve">APGE</t>
  </si>
  <si>
    <t xml:space="preserve">Apogee Therapeutics</t>
  </si>
  <si>
    <t xml:space="preserve">Zumilokibart (APG777)</t>
  </si>
  <si>
    <t xml:space="preserve">Moderate-severe Atopic Dermatitis</t>
  </si>
  <si>
    <t xml:space="preserve">Reported (recent)</t>
  </si>
  <si>
    <t xml:space="preserve">Phase 2 Data</t>
  </si>
  <si>
    <t xml:space="preserve">Phase 2</t>
  </si>
  <si>
    <t xml:space="preserve">Positive 52-week data. Every 3/6-month dosing maintained responses. Source: BiopharmaWatch / StockTitan</t>
  </si>
  <si>
    <t xml:space="preserve">SOCIAL SENTIMENT &amp; RETAIL BUZZ — March 26, 2026</t>
  </si>
  <si>
    <t xml:space="preserve">Platform</t>
  </si>
  <si>
    <t xml:space="preserve">Sentiment</t>
  </si>
  <si>
    <t xml:space="preserve">Activity Level</t>
  </si>
  <si>
    <t xml:space="preserve">Key Topic / Reason</t>
  </si>
  <si>
    <t xml:space="preserve">StockTwits / Twitter</t>
  </si>
  <si>
    <t xml:space="preserve">Mixed / Volatile</t>
  </si>
  <si>
    <t xml:space="preserve">VERY HIGH</t>
  </si>
  <si>
    <t xml:space="preserve">Global expansion (Macau SAR). NCCN guideline inclusion. sBLA resubmission. -21%/+9% swing draws attention.</t>
  </si>
  <si>
    <t xml:space="preserve">StockTwits (stockstotrade.com), Simply Wall St</t>
  </si>
  <si>
    <t xml:space="preserve">StockTwits</t>
  </si>
  <si>
    <t xml:space="preserve">Bullish</t>
  </si>
  <si>
    <t xml:space="preserve">Active momentum play. High message volume. Listed alongside LQDA, ADMA, ANIP as small-cap biotech momentum.</t>
  </si>
  <si>
    <t xml:space="preserve">StockTwits (BiopharmaWatch reference)</t>
  </si>
  <si>
    <t xml:space="preserve">StockTwits / Reddit</t>
  </si>
  <si>
    <t xml:space="preserve">Sustained +40.3% 6-month run. EPS consensus doubled. Commercial PH momentum. Retail following building.</t>
  </si>
  <si>
    <t xml:space="preserve">Zacks, Yahoo Finance, StockTwits</t>
  </si>
  <si>
    <t xml:space="preserve">Reddit / Analyst</t>
  </si>
  <si>
    <t xml:space="preserve">Cautiously Bullish</t>
  </si>
  <si>
    <t xml:space="preserve">LOW-MED</t>
  </si>
  <si>
    <t xml:space="preserve">HC Wainwright Strong Buy. Maxim Group Buy. 700%+ implied upside from analyst targets. Penny stock speculator interest.</t>
  </si>
  <si>
    <t xml:space="preserve">Investing.com / HC Wainwright / Maxim Group</t>
  </si>
  <si>
    <t xml:space="preserve">Sector</t>
  </si>
  <si>
    <t xml:space="preserve">Small-cap biotech</t>
  </si>
  <si>
    <t xml:space="preserve">Reddit WSB</t>
  </si>
  <si>
    <t xml:space="preserve">Increasingly Bullish</t>
  </si>
  <si>
    <t xml:space="preserve">BUILDING</t>
  </si>
  <si>
    <t xml:space="preserve">WSB community discussing 'meme stocks moving to biotech.' Russell 2000 +8% YTD vs S&amp;P +1.5% driving sector interest.</t>
  </si>
  <si>
    <t xml:space="preserve">ValueWalk / AltIndex / Tradestie</t>
  </si>
  <si>
    <t xml:space="preserve">XBI</t>
  </si>
  <si>
    <t xml:space="preserve">SPDR Biotech ETF</t>
  </si>
  <si>
    <t xml:space="preserve">Unusual Whales</t>
  </si>
  <si>
    <t xml:space="preserve">Monitor</t>
  </si>
  <si>
    <t xml:space="preserve">CHECK LIVE</t>
  </si>
  <si>
    <t xml:space="preserve">Check OptionCharts.io/options/XBI/unusual-options for real-time sweep data as sector sentiment gauge.</t>
  </si>
  <si>
    <t xml:space="preserve">CHECK</t>
  </si>
  <si>
    <t xml:space="preserve">OptionCharts.io / Unusual Whales</t>
  </si>
  <si>
    <t xml:space="preserve">UPCOMING BIOTECH CONFERENCES &amp; CATALYSTS — March-May 2026</t>
  </si>
  <si>
    <t xml:space="preserve">Conference</t>
  </si>
  <si>
    <t xml:space="preserve">Start Date</t>
  </si>
  <si>
    <t xml:space="preserve">End Date</t>
  </si>
  <si>
    <t xml:space="preserve">Location</t>
  </si>
  <si>
    <t xml:space="preserve">Focus Area</t>
  </si>
  <si>
    <t xml:space="preserve">Key Presenting Entities</t>
  </si>
  <si>
    <t xml:space="preserve">Catalyst Potential</t>
  </si>
  <si>
    <t xml:space="preserve">Notes / Source</t>
  </si>
  <si>
    <t xml:space="preserve">AACR Oncology Industry Partnering Event</t>
  </si>
  <si>
    <t xml:space="preserve">Apr 16, 2026</t>
  </si>
  <si>
    <t xml:space="preserve">Apr 17, 2026</t>
  </si>
  <si>
    <t xml:space="preserve">San Diego, CA</t>
  </si>
  <si>
    <t xml:space="preserve">Oncology / BD&amp;L Partnering</t>
  </si>
  <si>
    <t xml:space="preserve">Big pharma + small/mid-cap biotech (up to 800 attendees)</t>
  </si>
  <si>
    <t xml:space="preserve">Pre-AACR networking and deal-making event. Watch for small-cap oncology stocks with presentations. Source: AACR.org</t>
  </si>
  <si>
    <t xml:space="preserve">AACR Annual Meeting 2026</t>
  </si>
  <si>
    <t xml:space="preserve">Apr 22, 2026</t>
  </si>
  <si>
    <t xml:space="preserve">Cancer Research (all types)</t>
  </si>
  <si>
    <t xml:space="preserve">Korean biotechs; Molecular Partners (3 posters); BBOT; 40,000+ total attendees</t>
  </si>
  <si>
    <t xml:space="preserve">Largest cancer research meeting globally. Abstract publications expected EARLY APRIL — monitor AACR.org. Small-cap oncology stocks often move at abstract publication, not at the meeting. Source: AACR.org, BioTechniques, Biospace</t>
  </si>
  <si>
    <t xml:space="preserve">FDA ODAC AdCom (AZ Camizestrant/Truqap)</t>
  </si>
  <si>
    <t xml:space="preserve">Virtual/D.C.</t>
  </si>
  <si>
    <t xml:space="preserve">Oncology Drug Review</t>
  </si>
  <si>
    <t xml:space="preserve">AstraZeneca (camizestrant + Truqap/capivasertib)</t>
  </si>
  <si>
    <t xml:space="preserve">First FDA AdCom in 9+ months — signals FDA returning to normal review cadence. Source: FierceBiotech</t>
  </si>
  <si>
    <t xml:space="preserve">JPMorgan Healthcare Conference</t>
  </si>
  <si>
    <t xml:space="preserve">Jan 2026</t>
  </si>
  <si>
    <t xml:space="preserve">San Francisco</t>
  </si>
  <si>
    <t xml:space="preserve">All healthcare</t>
  </si>
  <si>
    <t xml:space="preserve">Major pharma, biotech, medtech — broad</t>
  </si>
  <si>
    <t xml:space="preserve">N/A (past)</t>
  </si>
  <si>
    <t xml:space="preserve">Annual Jan conference typically drives sector momentum. Already occurred. Source: General knowledge</t>
  </si>
  <si>
    <t xml:space="preserve">ASCO Annual Meeting 2026</t>
  </si>
  <si>
    <t xml:space="preserve">TBD (May/Jun)</t>
  </si>
  <si>
    <t xml:space="preserve">Clinical Oncology</t>
  </si>
  <si>
    <t xml:space="preserve">TBD — largest oncology clinical meeting</t>
  </si>
  <si>
    <t xml:space="preserve">Watch for abstract publications ~6 weeks before meeting. Major small-cap oncology catalyst. Verify dates at ASCO.org</t>
  </si>
  <si>
    <t xml:space="preserve">ASH Annual Meeting 2026</t>
  </si>
  <si>
    <t xml:space="preserve">TBD (Dec)</t>
  </si>
  <si>
    <t xml:space="preserve">Hematology</t>
  </si>
  <si>
    <t xml:space="preserve">TBD — key for blood cancer biotechs</t>
  </si>
  <si>
    <t xml:space="preserve">Annual meeting typically December. Key for AML, MDS, lymphoma biotechs (incl. MBRX Annamycin). Verify at ASH.org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</si>
</sst>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333333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6DA4"/>
        <bgColor rgb="FF3366FF"/>
      </patternFill>
    </fill>
    <fill>
      <patternFill patternType="solid">
        <fgColor rgb="FFFFFFFF"/>
        <bgColor rgb="FFF5F5F5"/>
      </patternFill>
    </fill>
    <fill>
      <patternFill patternType="solid">
        <fgColor rgb="FFFFD0D0"/>
        <bgColor rgb="FFFFE8CC"/>
      </patternFill>
    </fill>
    <fill>
      <patternFill patternType="solid">
        <fgColor rgb="FFF5F5F5"/>
        <bgColor rgb="FFE8F5E9"/>
      </patternFill>
    </fill>
    <fill>
      <patternFill patternType="solid">
        <fgColor rgb="FFD6E4F0"/>
        <bgColor rgb="FFE8F5E9"/>
      </patternFill>
    </fill>
    <fill>
      <patternFill patternType="solid">
        <fgColor rgb="FFCC0000"/>
        <bgColor rgb="FF800000"/>
      </patternFill>
    </fill>
    <fill>
      <patternFill patternType="solid">
        <fgColor rgb="FFFFF3CD"/>
        <bgColor rgb="FFFFE8CC"/>
      </patternFill>
    </fill>
    <fill>
      <patternFill patternType="solid">
        <fgColor rgb="FFE8F5E9"/>
        <bgColor rgb="FFF5F5F5"/>
      </patternFill>
    </fill>
    <fill>
      <patternFill patternType="solid">
        <fgColor rgb="FFFFE8CC"/>
        <bgColor rgb="FFFFF3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D0D0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E8CC"/>
          <bgColor rgb="FF000000"/>
        </patternFill>
      </fill>
    </dxf>
    <dxf>
      <fill>
        <patternFill patternType="solid">
          <fgColor rgb="FFD6E4F0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CD"/>
      <rgbColor rgb="FFE8F5E9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E8CC"/>
      <rgbColor rgb="FF99CCFF"/>
      <rgbColor rgb="FFFF99CC"/>
      <rgbColor rgb="FFCC99FF"/>
      <rgbColor rgb="FFFFD0D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5" min="3" style="0" width="12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5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2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9.75" hidden="false" customHeight="true" outlineLevel="0" collapsed="false">
      <c r="A5" s="4" t="s">
        <v>10</v>
      </c>
      <c r="B5" s="5" t="n">
        <v>6</v>
      </c>
      <c r="C5" s="5" t="n">
        <v>2</v>
      </c>
      <c r="D5" s="6" t="n">
        <v>3</v>
      </c>
      <c r="E5" s="6" t="n">
        <v>1</v>
      </c>
      <c r="F5" s="4" t="s">
        <v>11</v>
      </c>
      <c r="G5" s="4" t="s">
        <v>12</v>
      </c>
      <c r="H5" s="4" t="s">
        <v>13</v>
      </c>
    </row>
    <row r="6" customFormat="false" ht="39.75" hidden="false" customHeight="true" outlineLevel="0" collapsed="false">
      <c r="A6" s="7" t="s">
        <v>14</v>
      </c>
      <c r="B6" s="5" t="n">
        <v>3</v>
      </c>
      <c r="C6" s="5" t="n">
        <v>0</v>
      </c>
      <c r="D6" s="8" t="n">
        <v>2</v>
      </c>
      <c r="E6" s="8" t="n">
        <v>1</v>
      </c>
      <c r="F6" s="7" t="s">
        <v>15</v>
      </c>
      <c r="G6" s="7" t="s">
        <v>16</v>
      </c>
      <c r="H6" s="7" t="s">
        <v>17</v>
      </c>
    </row>
    <row r="7" customFormat="false" ht="39.75" hidden="false" customHeight="true" outlineLevel="0" collapsed="false">
      <c r="A7" s="4" t="s">
        <v>18</v>
      </c>
      <c r="B7" s="6" t="n">
        <v>4</v>
      </c>
      <c r="C7" s="6" t="n">
        <v>2</v>
      </c>
      <c r="D7" s="6" t="n">
        <v>2</v>
      </c>
      <c r="E7" s="6" t="n">
        <v>0</v>
      </c>
      <c r="F7" s="4" t="s">
        <v>19</v>
      </c>
      <c r="G7" s="4" t="s">
        <v>20</v>
      </c>
      <c r="H7" s="4" t="s">
        <v>21</v>
      </c>
    </row>
    <row r="8" customFormat="false" ht="39.75" hidden="false" customHeight="true" outlineLevel="0" collapsed="false">
      <c r="A8" s="7" t="s">
        <v>22</v>
      </c>
      <c r="B8" s="8" t="n">
        <v>3</v>
      </c>
      <c r="C8" s="8" t="n">
        <v>0</v>
      </c>
      <c r="D8" s="8" t="n">
        <v>3</v>
      </c>
      <c r="E8" s="8" t="n">
        <v>0</v>
      </c>
      <c r="F8" s="7" t="s">
        <v>23</v>
      </c>
      <c r="G8" s="7" t="s">
        <v>24</v>
      </c>
      <c r="H8" s="7" t="s">
        <v>25</v>
      </c>
    </row>
    <row r="9" customFormat="false" ht="39.75" hidden="false" customHeight="true" outlineLevel="0" collapsed="false">
      <c r="A9" s="4" t="s">
        <v>26</v>
      </c>
      <c r="B9" s="6" t="n">
        <v>1</v>
      </c>
      <c r="C9" s="6" t="n">
        <v>0</v>
      </c>
      <c r="D9" s="6" t="n">
        <v>1</v>
      </c>
      <c r="E9" s="6" t="n">
        <v>0</v>
      </c>
      <c r="F9" s="4" t="s">
        <v>27</v>
      </c>
      <c r="G9" s="4" t="s">
        <v>28</v>
      </c>
      <c r="H9" s="4" t="s">
        <v>29</v>
      </c>
    </row>
    <row r="10" customFormat="false" ht="39.75" hidden="false" customHeight="true" outlineLevel="0" collapsed="false">
      <c r="A10" s="9" t="s">
        <v>30</v>
      </c>
      <c r="B10" s="10" t="n">
        <f aca="false">SUM(B5:B9)</f>
        <v>17</v>
      </c>
      <c r="C10" s="10" t="n">
        <f aca="false">SUM(C5:C9)</f>
        <v>4</v>
      </c>
      <c r="D10" s="10" t="n">
        <f aca="false">SUM(D5:D9)</f>
        <v>11</v>
      </c>
      <c r="E10" s="10" t="n">
        <f aca="false">SUM(E5:E9)</f>
        <v>2</v>
      </c>
      <c r="F10" s="11" t="s">
        <v>31</v>
      </c>
      <c r="G10" s="11" t="s">
        <v>31</v>
      </c>
      <c r="H10" s="11" t="s">
        <v>32</v>
      </c>
    </row>
    <row r="11" customFormat="false" ht="12" hidden="false" customHeight="true" outlineLevel="0" collapsed="false"/>
    <row r="12" customFormat="false" ht="27.75" hidden="false" customHeight="true" outlineLevel="0" collapsed="false">
      <c r="A12" s="12" t="s">
        <v>33</v>
      </c>
      <c r="B12" s="12"/>
      <c r="C12" s="12"/>
      <c r="D12" s="12"/>
      <c r="E12" s="12"/>
      <c r="F12" s="12"/>
      <c r="G12" s="12"/>
      <c r="H12" s="12"/>
    </row>
    <row r="13" customFormat="false" ht="27.75" hidden="false" customHeight="true" outlineLevel="0" collapsed="false">
      <c r="A13" s="13" t="s">
        <v>34</v>
      </c>
      <c r="B13" s="13" t="s">
        <v>35</v>
      </c>
      <c r="C13" s="13" t="s">
        <v>36</v>
      </c>
      <c r="D13" s="13" t="s">
        <v>37</v>
      </c>
      <c r="E13" s="13" t="s">
        <v>38</v>
      </c>
      <c r="F13" s="13" t="s">
        <v>39</v>
      </c>
      <c r="G13" s="13" t="s">
        <v>40</v>
      </c>
      <c r="H13" s="13" t="s">
        <v>41</v>
      </c>
    </row>
    <row r="14" customFormat="false" ht="45" hidden="false" customHeight="true" outlineLevel="0" collapsed="false">
      <c r="A14" s="14" t="s">
        <v>42</v>
      </c>
      <c r="B14" s="15" t="s">
        <v>43</v>
      </c>
      <c r="C14" s="14" t="n">
        <v>4</v>
      </c>
      <c r="D14" s="15" t="s">
        <v>44</v>
      </c>
      <c r="E14" s="15" t="s">
        <v>45</v>
      </c>
      <c r="F14" s="15" t="s">
        <v>46</v>
      </c>
      <c r="G14" s="15" t="s">
        <v>47</v>
      </c>
      <c r="H14" s="15" t="s">
        <v>48</v>
      </c>
    </row>
    <row r="15" customFormat="false" ht="45" hidden="false" customHeight="true" outlineLevel="0" collapsed="false">
      <c r="A15" s="14" t="s">
        <v>49</v>
      </c>
      <c r="B15" s="15" t="s">
        <v>50</v>
      </c>
      <c r="C15" s="14" t="n">
        <v>3</v>
      </c>
      <c r="D15" s="15" t="s">
        <v>51</v>
      </c>
      <c r="E15" s="15" t="s">
        <v>52</v>
      </c>
      <c r="F15" s="15" t="s">
        <v>53</v>
      </c>
      <c r="G15" s="15" t="s">
        <v>54</v>
      </c>
      <c r="H15" s="15" t="s">
        <v>55</v>
      </c>
    </row>
    <row r="16" customFormat="false" ht="45" hidden="false" customHeight="true" outlineLevel="0" collapsed="false">
      <c r="A16" s="14" t="s">
        <v>56</v>
      </c>
      <c r="B16" s="15" t="s">
        <v>57</v>
      </c>
      <c r="C16" s="14" t="n">
        <v>3</v>
      </c>
      <c r="D16" s="15" t="s">
        <v>58</v>
      </c>
      <c r="E16" s="15" t="s">
        <v>59</v>
      </c>
      <c r="F16" s="15" t="s">
        <v>60</v>
      </c>
      <c r="G16" s="15" t="s">
        <v>61</v>
      </c>
      <c r="H16" s="15" t="s">
        <v>62</v>
      </c>
    </row>
  </sheetData>
  <mergeCells count="3">
    <mergeCell ref="A1:H1"/>
    <mergeCell ref="A2:H2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60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16" t="s">
        <v>63</v>
      </c>
      <c r="B1" s="16"/>
      <c r="C1" s="16"/>
      <c r="D1" s="16"/>
      <c r="E1" s="16"/>
      <c r="F1" s="16"/>
      <c r="G1" s="16"/>
      <c r="H1" s="16"/>
      <c r="I1" s="16"/>
      <c r="J1" s="16"/>
    </row>
    <row r="2" customFormat="false" ht="27.75" hidden="false" customHeight="true" outlineLevel="0" collapsed="false">
      <c r="A2" s="3" t="s">
        <v>34</v>
      </c>
      <c r="B2" s="3" t="s">
        <v>35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3" t="s">
        <v>70</v>
      </c>
      <c r="J2" s="3" t="s">
        <v>71</v>
      </c>
    </row>
    <row r="3" customFormat="false" ht="45" hidden="false" customHeight="true" outlineLevel="0" collapsed="false">
      <c r="A3" s="14" t="s">
        <v>42</v>
      </c>
      <c r="B3" s="4" t="s">
        <v>43</v>
      </c>
      <c r="C3" s="4" t="s">
        <v>72</v>
      </c>
      <c r="D3" s="4" t="s">
        <v>73</v>
      </c>
      <c r="E3" s="4" t="s">
        <v>74</v>
      </c>
      <c r="F3" s="4" t="s">
        <v>75</v>
      </c>
      <c r="G3" s="4" t="s">
        <v>76</v>
      </c>
      <c r="H3" s="14" t="s">
        <v>77</v>
      </c>
      <c r="I3" s="4" t="s">
        <v>78</v>
      </c>
      <c r="J3" s="4" t="s">
        <v>79</v>
      </c>
    </row>
    <row r="4" customFormat="false" ht="45" hidden="false" customHeight="true" outlineLevel="0" collapsed="false">
      <c r="A4" s="14" t="s">
        <v>49</v>
      </c>
      <c r="B4" s="7" t="s">
        <v>80</v>
      </c>
      <c r="C4" s="7" t="s">
        <v>81</v>
      </c>
      <c r="D4" s="7" t="s">
        <v>82</v>
      </c>
      <c r="E4" s="7" t="s">
        <v>82</v>
      </c>
      <c r="F4" s="7" t="s">
        <v>83</v>
      </c>
      <c r="G4" s="7" t="s">
        <v>84</v>
      </c>
      <c r="H4" s="14" t="s">
        <v>77</v>
      </c>
      <c r="I4" s="7" t="s">
        <v>85</v>
      </c>
      <c r="J4" s="7" t="s">
        <v>86</v>
      </c>
    </row>
    <row r="5" customFormat="false" ht="45" hidden="false" customHeight="true" outlineLevel="0" collapsed="false">
      <c r="A5" s="17" t="s">
        <v>56</v>
      </c>
      <c r="B5" s="4" t="s">
        <v>57</v>
      </c>
      <c r="C5" s="4" t="s">
        <v>87</v>
      </c>
      <c r="D5" s="4" t="s">
        <v>88</v>
      </c>
      <c r="E5" s="4" t="s">
        <v>89</v>
      </c>
      <c r="F5" s="4" t="s">
        <v>58</v>
      </c>
      <c r="G5" s="4" t="s">
        <v>84</v>
      </c>
      <c r="H5" s="17" t="s">
        <v>90</v>
      </c>
      <c r="I5" s="4" t="s">
        <v>91</v>
      </c>
      <c r="J5" s="4" t="s">
        <v>92</v>
      </c>
    </row>
    <row r="6" customFormat="false" ht="45" hidden="false" customHeight="true" outlineLevel="0" collapsed="false">
      <c r="A6" s="17" t="s">
        <v>93</v>
      </c>
      <c r="B6" s="7" t="s">
        <v>94</v>
      </c>
      <c r="C6" s="7" t="s">
        <v>95</v>
      </c>
      <c r="D6" s="7" t="s">
        <v>96</v>
      </c>
      <c r="E6" s="7" t="s">
        <v>97</v>
      </c>
      <c r="F6" s="7" t="s">
        <v>98</v>
      </c>
      <c r="G6" s="7" t="s">
        <v>99</v>
      </c>
      <c r="H6" s="17" t="s">
        <v>90</v>
      </c>
      <c r="I6" s="7" t="s">
        <v>100</v>
      </c>
      <c r="J6" s="7" t="s">
        <v>101</v>
      </c>
    </row>
    <row r="7" customFormat="false" ht="45" hidden="false" customHeight="true" outlineLevel="0" collapsed="false">
      <c r="A7" s="17" t="s">
        <v>102</v>
      </c>
      <c r="B7" s="4" t="s">
        <v>103</v>
      </c>
      <c r="C7" s="4" t="s">
        <v>104</v>
      </c>
      <c r="D7" s="4" t="s">
        <v>96</v>
      </c>
      <c r="E7" s="4" t="s">
        <v>105</v>
      </c>
      <c r="F7" s="4" t="s">
        <v>96</v>
      </c>
      <c r="G7" s="4" t="s">
        <v>106</v>
      </c>
      <c r="H7" s="17" t="s">
        <v>90</v>
      </c>
      <c r="I7" s="4" t="s">
        <v>107</v>
      </c>
      <c r="J7" s="4" t="s">
        <v>108</v>
      </c>
    </row>
    <row r="8" customFormat="false" ht="45" hidden="false" customHeight="true" outlineLevel="0" collapsed="false">
      <c r="A8" s="17" t="s">
        <v>109</v>
      </c>
      <c r="B8" s="7" t="s">
        <v>110</v>
      </c>
      <c r="C8" s="7" t="s">
        <v>95</v>
      </c>
      <c r="D8" s="7" t="s">
        <v>111</v>
      </c>
      <c r="E8" s="7" t="s">
        <v>112</v>
      </c>
      <c r="F8" s="7" t="s">
        <v>113</v>
      </c>
      <c r="G8" s="7" t="s">
        <v>99</v>
      </c>
      <c r="H8" s="17" t="s">
        <v>90</v>
      </c>
      <c r="I8" s="7" t="s">
        <v>114</v>
      </c>
      <c r="J8" s="7" t="s">
        <v>115</v>
      </c>
    </row>
    <row r="9" customFormat="false" ht="45" hidden="false" customHeight="true" outlineLevel="0" collapsed="false">
      <c r="A9" s="17" t="s">
        <v>116</v>
      </c>
      <c r="B9" s="4" t="s">
        <v>117</v>
      </c>
      <c r="C9" s="4" t="s">
        <v>95</v>
      </c>
      <c r="D9" s="4" t="s">
        <v>111</v>
      </c>
      <c r="E9" s="4" t="s">
        <v>112</v>
      </c>
      <c r="F9" s="4" t="s">
        <v>113</v>
      </c>
      <c r="G9" s="4" t="s">
        <v>99</v>
      </c>
      <c r="H9" s="17" t="s">
        <v>90</v>
      </c>
      <c r="I9" s="4" t="s">
        <v>118</v>
      </c>
      <c r="J9" s="4" t="s">
        <v>119</v>
      </c>
    </row>
    <row r="10" customFormat="false" ht="45" hidden="false" customHeight="true" outlineLevel="0" collapsed="false">
      <c r="A10" s="18" t="s">
        <v>120</v>
      </c>
      <c r="B10" s="7" t="s">
        <v>121</v>
      </c>
      <c r="C10" s="7" t="s">
        <v>95</v>
      </c>
      <c r="D10" s="7" t="s">
        <v>122</v>
      </c>
      <c r="E10" s="7" t="s">
        <v>123</v>
      </c>
      <c r="F10" s="7" t="s">
        <v>124</v>
      </c>
      <c r="G10" s="7" t="s">
        <v>99</v>
      </c>
      <c r="H10" s="18" t="s">
        <v>125</v>
      </c>
      <c r="I10" s="7" t="s">
        <v>126</v>
      </c>
      <c r="J10" s="7" t="s">
        <v>127</v>
      </c>
    </row>
    <row r="11" customFormat="false" ht="45" hidden="false" customHeight="true" outlineLevel="0" collapsed="false">
      <c r="A11" s="18" t="s">
        <v>128</v>
      </c>
      <c r="B11" s="4" t="s">
        <v>129</v>
      </c>
      <c r="C11" s="4" t="s">
        <v>95</v>
      </c>
      <c r="D11" s="4" t="s">
        <v>122</v>
      </c>
      <c r="E11" s="4" t="s">
        <v>123</v>
      </c>
      <c r="F11" s="4" t="s">
        <v>124</v>
      </c>
      <c r="G11" s="4" t="s">
        <v>84</v>
      </c>
      <c r="H11" s="18" t="s">
        <v>125</v>
      </c>
      <c r="I11" s="4" t="s">
        <v>126</v>
      </c>
      <c r="J11" s="4" t="s">
        <v>127</v>
      </c>
    </row>
    <row r="12" customFormat="false" ht="45" hidden="false" customHeight="true" outlineLevel="0" collapsed="false">
      <c r="A12" s="17" t="s">
        <v>130</v>
      </c>
      <c r="B12" s="7" t="s">
        <v>131</v>
      </c>
      <c r="C12" s="7" t="s">
        <v>95</v>
      </c>
      <c r="D12" s="7" t="s">
        <v>132</v>
      </c>
      <c r="E12" s="7" t="s">
        <v>96</v>
      </c>
      <c r="F12" s="7" t="s">
        <v>133</v>
      </c>
      <c r="G12" s="7" t="s">
        <v>99</v>
      </c>
      <c r="H12" s="17" t="s">
        <v>90</v>
      </c>
      <c r="I12" s="7" t="s">
        <v>134</v>
      </c>
      <c r="J12" s="7" t="s">
        <v>135</v>
      </c>
    </row>
    <row r="14" customFormat="false" ht="18" hidden="false" customHeight="true" outlineLevel="0" collapsed="false">
      <c r="A14" s="19" t="s">
        <v>136</v>
      </c>
      <c r="B14" s="19"/>
      <c r="C14" s="19"/>
      <c r="D14" s="19"/>
      <c r="E14" s="19"/>
      <c r="F14" s="19"/>
      <c r="G14" s="19"/>
      <c r="H14" s="19"/>
      <c r="I14" s="19"/>
      <c r="J14" s="19"/>
    </row>
  </sheetData>
  <autoFilter ref="A2:J12"/>
  <mergeCells count="2">
    <mergeCell ref="A1:J1"/>
    <mergeCell ref="A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50"/>
  </cols>
  <sheetData>
    <row r="1" customFormat="false" ht="30" hidden="false" customHeight="true" outlineLevel="0" collapsed="false">
      <c r="A1" s="16" t="s">
        <v>137</v>
      </c>
      <c r="B1" s="16"/>
      <c r="C1" s="16"/>
      <c r="D1" s="16"/>
      <c r="E1" s="16"/>
      <c r="F1" s="16"/>
      <c r="G1" s="16"/>
      <c r="H1" s="16"/>
      <c r="I1" s="16"/>
    </row>
    <row r="2" customFormat="false" ht="21.75" hidden="false" customHeight="true" outlineLevel="0" collapsed="false">
      <c r="A2" s="20" t="s">
        <v>138</v>
      </c>
      <c r="B2" s="20"/>
      <c r="C2" s="20"/>
      <c r="D2" s="20"/>
      <c r="E2" s="20"/>
      <c r="F2" s="20"/>
      <c r="G2" s="20"/>
      <c r="H2" s="20"/>
      <c r="I2" s="20"/>
    </row>
    <row r="3" customFormat="false" ht="27.75" hidden="false" customHeight="true" outlineLevel="0" collapsed="false">
      <c r="A3" s="3" t="s">
        <v>34</v>
      </c>
      <c r="B3" s="3" t="s">
        <v>35</v>
      </c>
      <c r="C3" s="3" t="s">
        <v>139</v>
      </c>
      <c r="D3" s="3" t="s">
        <v>140</v>
      </c>
      <c r="E3" s="3" t="s">
        <v>141</v>
      </c>
      <c r="F3" s="3" t="s">
        <v>142</v>
      </c>
      <c r="G3" s="3" t="s">
        <v>143</v>
      </c>
      <c r="H3" s="3" t="s">
        <v>144</v>
      </c>
      <c r="I3" s="3" t="s">
        <v>9</v>
      </c>
    </row>
    <row r="4" customFormat="false" ht="49.5" hidden="false" customHeight="true" outlineLevel="0" collapsed="false">
      <c r="A4" s="17" t="s">
        <v>145</v>
      </c>
      <c r="B4" s="7" t="s">
        <v>146</v>
      </c>
      <c r="C4" s="7" t="s">
        <v>147</v>
      </c>
      <c r="D4" s="7" t="s">
        <v>148</v>
      </c>
      <c r="E4" s="7" t="s">
        <v>149</v>
      </c>
      <c r="F4" s="7" t="s">
        <v>150</v>
      </c>
      <c r="G4" s="7" t="s">
        <v>151</v>
      </c>
      <c r="H4" s="21" t="s">
        <v>152</v>
      </c>
      <c r="I4" s="7" t="s">
        <v>153</v>
      </c>
      <c r="J4" s="7" t="s">
        <v>154</v>
      </c>
    </row>
    <row r="5" customFormat="false" ht="49.5" hidden="false" customHeight="true" outlineLevel="0" collapsed="false">
      <c r="A5" s="18" t="s">
        <v>155</v>
      </c>
      <c r="B5" s="4" t="s">
        <v>156</v>
      </c>
      <c r="C5" s="4" t="s">
        <v>157</v>
      </c>
      <c r="D5" s="4" t="s">
        <v>158</v>
      </c>
      <c r="E5" s="4" t="s">
        <v>159</v>
      </c>
      <c r="F5" s="4" t="s">
        <v>160</v>
      </c>
      <c r="G5" s="4" t="s">
        <v>161</v>
      </c>
      <c r="H5" s="22" t="s">
        <v>162</v>
      </c>
      <c r="I5" s="4" t="s">
        <v>163</v>
      </c>
      <c r="J5" s="4" t="s">
        <v>164</v>
      </c>
    </row>
    <row r="6" customFormat="false" ht="49.5" hidden="false" customHeight="true" outlineLevel="0" collapsed="false">
      <c r="A6" s="14" t="s">
        <v>155</v>
      </c>
      <c r="B6" s="7" t="s">
        <v>156</v>
      </c>
      <c r="C6" s="7" t="s">
        <v>165</v>
      </c>
      <c r="D6" s="7" t="s">
        <v>166</v>
      </c>
      <c r="E6" s="7" t="s">
        <v>167</v>
      </c>
      <c r="F6" s="7" t="s">
        <v>168</v>
      </c>
      <c r="G6" s="7" t="s">
        <v>169</v>
      </c>
      <c r="H6" s="15" t="s">
        <v>170</v>
      </c>
      <c r="I6" s="7" t="s">
        <v>171</v>
      </c>
      <c r="J6" s="7" t="s">
        <v>164</v>
      </c>
    </row>
    <row r="7" customFormat="false" ht="49.5" hidden="false" customHeight="true" outlineLevel="0" collapsed="false">
      <c r="A7" s="23" t="s">
        <v>172</v>
      </c>
      <c r="B7" s="4" t="s">
        <v>173</v>
      </c>
      <c r="C7" s="4" t="s">
        <v>174</v>
      </c>
      <c r="D7" s="4" t="s">
        <v>175</v>
      </c>
      <c r="E7" s="4" t="s">
        <v>176</v>
      </c>
      <c r="F7" s="4" t="s">
        <v>177</v>
      </c>
      <c r="G7" s="4" t="s">
        <v>178</v>
      </c>
      <c r="H7" s="4" t="s">
        <v>179</v>
      </c>
      <c r="I7" s="4" t="s">
        <v>180</v>
      </c>
      <c r="J7" s="4" t="s">
        <v>181</v>
      </c>
    </row>
    <row r="9" customFormat="false" ht="21.75" hidden="false" customHeight="true" outlineLevel="0" collapsed="false">
      <c r="A9" s="24" t="s">
        <v>182</v>
      </c>
      <c r="B9" s="24"/>
      <c r="C9" s="24"/>
      <c r="D9" s="24"/>
      <c r="E9" s="24"/>
      <c r="F9" s="24"/>
      <c r="G9" s="24"/>
      <c r="H9" s="24"/>
      <c r="I9" s="24"/>
    </row>
  </sheetData>
  <autoFilter ref="A3:I7"/>
  <mergeCells count="3">
    <mergeCell ref="A1:I1"/>
    <mergeCell ref="A2:I2"/>
    <mergeCell ref="A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10"/>
    <col collapsed="false" customWidth="true" hidden="false" outlineLevel="0" max="9" min="9" style="0" width="60"/>
  </cols>
  <sheetData>
    <row r="1" customFormat="false" ht="30" hidden="false" customHeight="true" outlineLevel="0" collapsed="false">
      <c r="A1" s="16" t="s">
        <v>183</v>
      </c>
      <c r="B1" s="16"/>
      <c r="C1" s="16"/>
      <c r="D1" s="16"/>
      <c r="E1" s="16"/>
      <c r="F1" s="16"/>
      <c r="G1" s="16"/>
      <c r="H1" s="16"/>
      <c r="I1" s="16"/>
    </row>
    <row r="2" customFormat="false" ht="27.75" hidden="false" customHeight="true" outlineLevel="0" collapsed="false">
      <c r="A2" s="3" t="s">
        <v>34</v>
      </c>
      <c r="B2" s="3" t="s">
        <v>35</v>
      </c>
      <c r="C2" s="3" t="s">
        <v>184</v>
      </c>
      <c r="D2" s="3" t="s">
        <v>185</v>
      </c>
      <c r="E2" s="3" t="s">
        <v>186</v>
      </c>
      <c r="F2" s="3" t="s">
        <v>187</v>
      </c>
      <c r="G2" s="3" t="s">
        <v>188</v>
      </c>
      <c r="H2" s="3" t="s">
        <v>144</v>
      </c>
      <c r="I2" s="3" t="s">
        <v>189</v>
      </c>
    </row>
    <row r="3" customFormat="false" ht="54.75" hidden="false" customHeight="true" outlineLevel="0" collapsed="false">
      <c r="A3" s="14" t="s">
        <v>49</v>
      </c>
      <c r="B3" s="4" t="s">
        <v>50</v>
      </c>
      <c r="C3" s="4" t="s">
        <v>190</v>
      </c>
      <c r="D3" s="4" t="s">
        <v>191</v>
      </c>
      <c r="E3" s="23" t="s">
        <v>192</v>
      </c>
      <c r="F3" s="4" t="s">
        <v>193</v>
      </c>
      <c r="G3" s="4" t="s">
        <v>194</v>
      </c>
      <c r="H3" s="14" t="s">
        <v>77</v>
      </c>
      <c r="I3" s="4" t="s">
        <v>195</v>
      </c>
    </row>
    <row r="4" customFormat="false" ht="54.75" hidden="false" customHeight="true" outlineLevel="0" collapsed="false">
      <c r="A4" s="17" t="s">
        <v>196</v>
      </c>
      <c r="B4" s="7" t="s">
        <v>197</v>
      </c>
      <c r="C4" s="7" t="s">
        <v>198</v>
      </c>
      <c r="D4" s="7" t="s">
        <v>199</v>
      </c>
      <c r="E4" s="25" t="s">
        <v>200</v>
      </c>
      <c r="F4" s="7" t="s">
        <v>201</v>
      </c>
      <c r="G4" s="7" t="s">
        <v>202</v>
      </c>
      <c r="H4" s="17" t="s">
        <v>90</v>
      </c>
      <c r="I4" s="7" t="s">
        <v>203</v>
      </c>
    </row>
    <row r="5" customFormat="false" ht="54.75" hidden="false" customHeight="true" outlineLevel="0" collapsed="false">
      <c r="A5" s="17" t="s">
        <v>204</v>
      </c>
      <c r="B5" s="4" t="s">
        <v>205</v>
      </c>
      <c r="C5" s="4" t="s">
        <v>206</v>
      </c>
      <c r="D5" s="4" t="s">
        <v>207</v>
      </c>
      <c r="E5" s="23" t="s">
        <v>208</v>
      </c>
      <c r="F5" s="4" t="s">
        <v>209</v>
      </c>
      <c r="G5" s="4" t="s">
        <v>210</v>
      </c>
      <c r="H5" s="17" t="s">
        <v>90</v>
      </c>
      <c r="I5" s="4" t="s">
        <v>211</v>
      </c>
    </row>
    <row r="6" customFormat="false" ht="54.75" hidden="false" customHeight="true" outlineLevel="0" collapsed="false">
      <c r="A6" s="17" t="s">
        <v>212</v>
      </c>
      <c r="B6" s="7" t="s">
        <v>213</v>
      </c>
      <c r="C6" s="7" t="s">
        <v>214</v>
      </c>
      <c r="D6" s="7" t="s">
        <v>215</v>
      </c>
      <c r="E6" s="25" t="s">
        <v>216</v>
      </c>
      <c r="F6" s="7" t="s">
        <v>217</v>
      </c>
      <c r="G6" s="7" t="s">
        <v>210</v>
      </c>
      <c r="H6" s="17" t="s">
        <v>90</v>
      </c>
      <c r="I6" s="7" t="s">
        <v>218</v>
      </c>
    </row>
    <row r="7" customFormat="false" ht="54.75" hidden="false" customHeight="true" outlineLevel="0" collapsed="false">
      <c r="A7" s="17" t="s">
        <v>56</v>
      </c>
      <c r="B7" s="4" t="s">
        <v>57</v>
      </c>
      <c r="C7" s="4" t="s">
        <v>219</v>
      </c>
      <c r="D7" s="4" t="s">
        <v>220</v>
      </c>
      <c r="E7" s="23" t="s">
        <v>221</v>
      </c>
      <c r="F7" s="4" t="s">
        <v>222</v>
      </c>
      <c r="G7" s="4" t="s">
        <v>223</v>
      </c>
      <c r="H7" s="17" t="s">
        <v>90</v>
      </c>
      <c r="I7" s="4" t="s">
        <v>224</v>
      </c>
    </row>
    <row r="8" customFormat="false" ht="54.75" hidden="false" customHeight="true" outlineLevel="0" collapsed="false">
      <c r="A8" s="18" t="s">
        <v>225</v>
      </c>
      <c r="B8" s="7" t="s">
        <v>225</v>
      </c>
      <c r="C8" s="7" t="s">
        <v>226</v>
      </c>
      <c r="D8" s="7" t="s">
        <v>227</v>
      </c>
      <c r="E8" s="25" t="s">
        <v>228</v>
      </c>
      <c r="F8" s="7" t="s">
        <v>229</v>
      </c>
      <c r="G8" s="7" t="s">
        <v>230</v>
      </c>
      <c r="H8" s="18" t="s">
        <v>231</v>
      </c>
      <c r="I8" s="7" t="s">
        <v>232</v>
      </c>
    </row>
    <row r="9" customFormat="false" ht="54.75" hidden="false" customHeight="true" outlineLevel="0" collapsed="false">
      <c r="A9" s="26" t="s">
        <v>233</v>
      </c>
      <c r="B9" s="4" t="s">
        <v>234</v>
      </c>
      <c r="C9" s="4" t="s">
        <v>235</v>
      </c>
      <c r="D9" s="4" t="s">
        <v>236</v>
      </c>
      <c r="E9" s="23" t="s">
        <v>237</v>
      </c>
      <c r="F9" s="4" t="s">
        <v>201</v>
      </c>
      <c r="G9" s="4" t="s">
        <v>238</v>
      </c>
      <c r="H9" s="26" t="s">
        <v>239</v>
      </c>
      <c r="I9" s="4" t="s">
        <v>240</v>
      </c>
    </row>
    <row r="10" customFormat="false" ht="54.75" hidden="false" customHeight="true" outlineLevel="0" collapsed="false">
      <c r="A10" s="17" t="s">
        <v>241</v>
      </c>
      <c r="B10" s="7" t="s">
        <v>242</v>
      </c>
      <c r="C10" s="7" t="s">
        <v>243</v>
      </c>
      <c r="D10" s="7" t="s">
        <v>244</v>
      </c>
      <c r="E10" s="25" t="s">
        <v>245</v>
      </c>
      <c r="F10" s="7" t="s">
        <v>246</v>
      </c>
      <c r="G10" s="7" t="s">
        <v>247</v>
      </c>
      <c r="H10" s="17" t="s">
        <v>90</v>
      </c>
      <c r="I10" s="7" t="s">
        <v>248</v>
      </c>
    </row>
    <row r="11" customFormat="false" ht="54.75" hidden="false" customHeight="true" outlineLevel="0" collapsed="false">
      <c r="A11" s="17" t="s">
        <v>249</v>
      </c>
      <c r="B11" s="4" t="s">
        <v>250</v>
      </c>
      <c r="C11" s="4" t="s">
        <v>251</v>
      </c>
      <c r="D11" s="4" t="s">
        <v>252</v>
      </c>
      <c r="E11" s="23" t="s">
        <v>253</v>
      </c>
      <c r="F11" s="4" t="s">
        <v>254</v>
      </c>
      <c r="G11" s="4" t="s">
        <v>210</v>
      </c>
      <c r="H11" s="17" t="s">
        <v>90</v>
      </c>
      <c r="I11" s="4" t="s">
        <v>255</v>
      </c>
    </row>
    <row r="12" customFormat="false" ht="54.75" hidden="false" customHeight="true" outlineLevel="0" collapsed="false">
      <c r="A12" s="18" t="s">
        <v>256</v>
      </c>
      <c r="B12" s="7" t="s">
        <v>257</v>
      </c>
      <c r="C12" s="7" t="s">
        <v>258</v>
      </c>
      <c r="D12" s="7" t="s">
        <v>259</v>
      </c>
      <c r="E12" s="25" t="s">
        <v>260</v>
      </c>
      <c r="F12" s="7" t="s">
        <v>261</v>
      </c>
      <c r="G12" s="7" t="s">
        <v>262</v>
      </c>
      <c r="H12" s="18" t="s">
        <v>125</v>
      </c>
      <c r="I12" s="7" t="s">
        <v>263</v>
      </c>
    </row>
  </sheetData>
  <autoFilter ref="A2:I1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60"/>
    <col collapsed="false" customWidth="true" hidden="false" outlineLevel="0" max="7" min="7" style="0" width="10"/>
    <col collapsed="false" customWidth="true" hidden="false" outlineLevel="0" max="8" min="8" style="0" width="35"/>
  </cols>
  <sheetData>
    <row r="1" customFormat="false" ht="30" hidden="false" customHeight="true" outlineLevel="0" collapsed="false">
      <c r="A1" s="16" t="s">
        <v>264</v>
      </c>
      <c r="B1" s="16"/>
      <c r="C1" s="16"/>
      <c r="D1" s="16"/>
      <c r="E1" s="16"/>
      <c r="F1" s="16"/>
      <c r="G1" s="16"/>
      <c r="H1" s="16"/>
    </row>
    <row r="2" customFormat="false" ht="27.75" hidden="false" customHeight="true" outlineLevel="0" collapsed="false">
      <c r="A2" s="3" t="s">
        <v>34</v>
      </c>
      <c r="B2" s="3" t="s">
        <v>35</v>
      </c>
      <c r="C2" s="3" t="s">
        <v>265</v>
      </c>
      <c r="D2" s="3" t="s">
        <v>266</v>
      </c>
      <c r="E2" s="3" t="s">
        <v>267</v>
      </c>
      <c r="F2" s="3" t="s">
        <v>268</v>
      </c>
      <c r="G2" s="3" t="s">
        <v>144</v>
      </c>
      <c r="H2" s="3" t="s">
        <v>71</v>
      </c>
    </row>
    <row r="3" customFormat="false" ht="49.5" hidden="false" customHeight="true" outlineLevel="0" collapsed="false">
      <c r="A3" s="14" t="s">
        <v>42</v>
      </c>
      <c r="B3" s="4" t="s">
        <v>43</v>
      </c>
      <c r="C3" s="4" t="s">
        <v>269</v>
      </c>
      <c r="D3" s="4" t="s">
        <v>270</v>
      </c>
      <c r="E3" s="15" t="s">
        <v>271</v>
      </c>
      <c r="F3" s="4" t="s">
        <v>272</v>
      </c>
      <c r="G3" s="15" t="s">
        <v>90</v>
      </c>
      <c r="H3" s="4" t="s">
        <v>273</v>
      </c>
    </row>
    <row r="4" customFormat="false" ht="49.5" hidden="false" customHeight="true" outlineLevel="0" collapsed="false">
      <c r="A4" s="17" t="s">
        <v>130</v>
      </c>
      <c r="B4" s="7" t="s">
        <v>131</v>
      </c>
      <c r="C4" s="7" t="s">
        <v>274</v>
      </c>
      <c r="D4" s="7" t="s">
        <v>275</v>
      </c>
      <c r="E4" s="21" t="s">
        <v>77</v>
      </c>
      <c r="F4" s="7" t="s">
        <v>276</v>
      </c>
      <c r="G4" s="21" t="s">
        <v>90</v>
      </c>
      <c r="H4" s="7" t="s">
        <v>277</v>
      </c>
    </row>
    <row r="5" customFormat="false" ht="49.5" hidden="false" customHeight="true" outlineLevel="0" collapsed="false">
      <c r="A5" s="17" t="s">
        <v>93</v>
      </c>
      <c r="B5" s="4" t="s">
        <v>94</v>
      </c>
      <c r="C5" s="4" t="s">
        <v>278</v>
      </c>
      <c r="D5" s="4" t="s">
        <v>275</v>
      </c>
      <c r="E5" s="21" t="s">
        <v>90</v>
      </c>
      <c r="F5" s="4" t="s">
        <v>279</v>
      </c>
      <c r="G5" s="21" t="s">
        <v>90</v>
      </c>
      <c r="H5" s="4" t="s">
        <v>280</v>
      </c>
    </row>
    <row r="6" customFormat="false" ht="49.5" hidden="false" customHeight="true" outlineLevel="0" collapsed="false">
      <c r="A6" s="18" t="s">
        <v>56</v>
      </c>
      <c r="B6" s="7" t="s">
        <v>57</v>
      </c>
      <c r="C6" s="7" t="s">
        <v>281</v>
      </c>
      <c r="D6" s="7" t="s">
        <v>282</v>
      </c>
      <c r="E6" s="22" t="s">
        <v>283</v>
      </c>
      <c r="F6" s="7" t="s">
        <v>284</v>
      </c>
      <c r="G6" s="22" t="s">
        <v>90</v>
      </c>
      <c r="H6" s="7" t="s">
        <v>285</v>
      </c>
    </row>
    <row r="7" customFormat="false" ht="49.5" hidden="false" customHeight="true" outlineLevel="0" collapsed="false">
      <c r="A7" s="17" t="s">
        <v>286</v>
      </c>
      <c r="B7" s="4" t="s">
        <v>287</v>
      </c>
      <c r="C7" s="4" t="s">
        <v>288</v>
      </c>
      <c r="D7" s="4" t="s">
        <v>289</v>
      </c>
      <c r="E7" s="21" t="s">
        <v>290</v>
      </c>
      <c r="F7" s="4" t="s">
        <v>291</v>
      </c>
      <c r="G7" s="21" t="s">
        <v>90</v>
      </c>
      <c r="H7" s="4" t="s">
        <v>292</v>
      </c>
    </row>
    <row r="8" customFormat="false" ht="49.5" hidden="false" customHeight="true" outlineLevel="0" collapsed="false">
      <c r="A8" s="9" t="s">
        <v>293</v>
      </c>
      <c r="B8" s="7" t="s">
        <v>294</v>
      </c>
      <c r="C8" s="7" t="s">
        <v>295</v>
      </c>
      <c r="D8" s="7" t="s">
        <v>296</v>
      </c>
      <c r="E8" s="11" t="s">
        <v>297</v>
      </c>
      <c r="F8" s="7" t="s">
        <v>298</v>
      </c>
      <c r="G8" s="11" t="s">
        <v>299</v>
      </c>
      <c r="H8" s="7" t="s">
        <v>300</v>
      </c>
    </row>
  </sheetData>
  <autoFilter ref="A2:H8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45"/>
    <col collapsed="false" customWidth="true" hidden="false" outlineLevel="0" max="7" min="7" style="0" width="14"/>
    <col collapsed="false" customWidth="true" hidden="false" outlineLevel="0" max="8" min="8" style="0" width="60"/>
  </cols>
  <sheetData>
    <row r="1" customFormat="false" ht="30" hidden="false" customHeight="true" outlineLevel="0" collapsed="false">
      <c r="A1" s="16" t="s">
        <v>301</v>
      </c>
      <c r="B1" s="16"/>
      <c r="C1" s="16"/>
      <c r="D1" s="16"/>
      <c r="E1" s="16"/>
      <c r="F1" s="16"/>
      <c r="G1" s="16"/>
      <c r="H1" s="16"/>
    </row>
    <row r="2" customFormat="false" ht="27.75" hidden="false" customHeight="true" outlineLevel="0" collapsed="false">
      <c r="A2" s="3" t="s">
        <v>302</v>
      </c>
      <c r="B2" s="3" t="s">
        <v>303</v>
      </c>
      <c r="C2" s="3" t="s">
        <v>304</v>
      </c>
      <c r="D2" s="3" t="s">
        <v>305</v>
      </c>
      <c r="E2" s="3" t="s">
        <v>306</v>
      </c>
      <c r="F2" s="3" t="s">
        <v>307</v>
      </c>
      <c r="G2" s="3" t="s">
        <v>308</v>
      </c>
      <c r="H2" s="3" t="s">
        <v>309</v>
      </c>
    </row>
    <row r="3" customFormat="false" ht="54.75" hidden="false" customHeight="true" outlineLevel="0" collapsed="false">
      <c r="A3" s="17" t="s">
        <v>310</v>
      </c>
      <c r="B3" s="4" t="s">
        <v>311</v>
      </c>
      <c r="C3" s="4" t="s">
        <v>312</v>
      </c>
      <c r="D3" s="4" t="s">
        <v>313</v>
      </c>
      <c r="E3" s="4" t="s">
        <v>314</v>
      </c>
      <c r="F3" s="4" t="s">
        <v>315</v>
      </c>
      <c r="G3" s="21" t="s">
        <v>90</v>
      </c>
      <c r="H3" s="4" t="s">
        <v>316</v>
      </c>
    </row>
    <row r="4" customFormat="false" ht="54.75" hidden="false" customHeight="true" outlineLevel="0" collapsed="false">
      <c r="A4" s="14" t="s">
        <v>317</v>
      </c>
      <c r="B4" s="7" t="s">
        <v>312</v>
      </c>
      <c r="C4" s="7" t="s">
        <v>318</v>
      </c>
      <c r="D4" s="7" t="s">
        <v>313</v>
      </c>
      <c r="E4" s="7" t="s">
        <v>319</v>
      </c>
      <c r="F4" s="7" t="s">
        <v>320</v>
      </c>
      <c r="G4" s="15" t="s">
        <v>77</v>
      </c>
      <c r="H4" s="7" t="s">
        <v>321</v>
      </c>
    </row>
    <row r="5" customFormat="false" ht="54.75" hidden="false" customHeight="true" outlineLevel="0" collapsed="false">
      <c r="A5" s="17" t="s">
        <v>322</v>
      </c>
      <c r="B5" s="4" t="s">
        <v>245</v>
      </c>
      <c r="C5" s="4" t="s">
        <v>245</v>
      </c>
      <c r="D5" s="4" t="s">
        <v>323</v>
      </c>
      <c r="E5" s="4" t="s">
        <v>324</v>
      </c>
      <c r="F5" s="4" t="s">
        <v>325</v>
      </c>
      <c r="G5" s="21" t="s">
        <v>90</v>
      </c>
      <c r="H5" s="4" t="s">
        <v>326</v>
      </c>
    </row>
    <row r="6" customFormat="false" ht="54.75" hidden="false" customHeight="true" outlineLevel="0" collapsed="false">
      <c r="A6" s="25" t="s">
        <v>327</v>
      </c>
      <c r="B6" s="7" t="s">
        <v>328</v>
      </c>
      <c r="C6" s="7" t="s">
        <v>328</v>
      </c>
      <c r="D6" s="7" t="s">
        <v>329</v>
      </c>
      <c r="E6" s="7" t="s">
        <v>330</v>
      </c>
      <c r="F6" s="7" t="s">
        <v>331</v>
      </c>
      <c r="G6" s="7" t="s">
        <v>332</v>
      </c>
      <c r="H6" s="7" t="s">
        <v>333</v>
      </c>
    </row>
    <row r="7" customFormat="false" ht="54.75" hidden="false" customHeight="true" outlineLevel="0" collapsed="false">
      <c r="A7" s="14" t="s">
        <v>334</v>
      </c>
      <c r="B7" s="4" t="s">
        <v>335</v>
      </c>
      <c r="C7" s="4" t="s">
        <v>176</v>
      </c>
      <c r="D7" s="4" t="s">
        <v>176</v>
      </c>
      <c r="E7" s="4" t="s">
        <v>336</v>
      </c>
      <c r="F7" s="4" t="s">
        <v>337</v>
      </c>
      <c r="G7" s="15" t="s">
        <v>77</v>
      </c>
      <c r="H7" s="4" t="s">
        <v>338</v>
      </c>
    </row>
    <row r="8" customFormat="false" ht="54.75" hidden="false" customHeight="true" outlineLevel="0" collapsed="false">
      <c r="A8" s="14" t="s">
        <v>339</v>
      </c>
      <c r="B8" s="7" t="s">
        <v>340</v>
      </c>
      <c r="C8" s="7" t="s">
        <v>176</v>
      </c>
      <c r="D8" s="7" t="s">
        <v>176</v>
      </c>
      <c r="E8" s="7" t="s">
        <v>341</v>
      </c>
      <c r="F8" s="7" t="s">
        <v>342</v>
      </c>
      <c r="G8" s="15" t="s">
        <v>77</v>
      </c>
      <c r="H8" s="7" t="s">
        <v>343</v>
      </c>
    </row>
  </sheetData>
  <autoFilter ref="A2:H8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2026-03-26T07:50:44Z</dcterms:created>
  <dc:creator>openpyxl</dc:creator>
  <dc:description/>
  <dc:language>en-US</dc:language>
  <cp:lastModifiedBy/>
  <dcterms:modified xsi:type="dcterms:W3CDTF">2026-03-26T07:50:44Z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