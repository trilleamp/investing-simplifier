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nusual Volume" sheetId="2" state="visible" r:id="rId4"/>
    <sheet name="SEC Filings" sheetId="3" state="visible" r:id="rId5"/>
    <sheet name="FDA Catalysts" sheetId="4" state="visible" r:id="rId6"/>
    <sheet name="Social Buzz" sheetId="5" state="visible" r:id="rId7"/>
    <sheet name="Conferences" sheetId="6" state="visible" r:id="rId8"/>
  </sheets>
  <definedNames>
    <definedName function="false" hidden="true" localSheetId="5" name="_xlnm._FilterDatabase" vbProcedure="false">Conferences!$A$2:$G$9</definedName>
    <definedName function="false" hidden="true" localSheetId="3" name="_xlnm._FilterDatabase" vbProcedure="false">'FDA Catalysts'!$A$2:$J$9</definedName>
    <definedName function="false" hidden="true" localSheetId="2" name="_xlnm._FilterDatabase" vbProcedure="false">'SEC Filings'!$A$2:$I$9</definedName>
    <definedName function="false" hidden="true" localSheetId="4" name="_xlnm._FilterDatabase" vbProcedure="false">'Social Buzz'!$A$2:$G$9</definedName>
    <definedName function="false" hidden="true" localSheetId="1" name="_xlnm._FilterDatabase" vbProcedure="false">'Unusual Volume'!$A$2:$I$9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<sst xmlns="http://schemas.openxmlformats.org/spreadsheetml/2006/main" count="416" uniqueCount="318">
  <si>
    <t xml:space="preserve">BIOTECH SCUTTLEBUTT SCANNER — Daily Intelligence Dashboard</t>
  </si>
  <si>
    <t xml:space="preserve">Report Date: April 1, 2026  |  Focus: Small &amp; Micro-Cap Biotech (under $2B market cap)</t>
  </si>
  <si>
    <t xml:space="preserve">Category</t>
  </si>
  <si>
    <t xml:space="preserve">Total Signals Found</t>
  </si>
  <si>
    <t xml:space="preserve">HIGH Signals</t>
  </si>
  <si>
    <t xml:space="preserve">MEDIUM Signals</t>
  </si>
  <si>
    <t xml:space="preserve">Top Ticker</t>
  </si>
  <si>
    <t xml:space="preserve">Signal Description</t>
  </si>
  <si>
    <t xml:space="preserve">Unusual Volume &amp; Price Movers</t>
  </si>
  <si>
    <t xml:space="preserve">CYCN</t>
  </si>
  <si>
    <t xml:space="preserve">+252% on Korsana merger; ORIC -27% on trial data</t>
  </si>
  <si>
    <t xml:space="preserve">SEC Insider Buying / 13D Filings</t>
  </si>
  <si>
    <t xml:space="preserve">ZBIO</t>
  </si>
  <si>
    <t xml:space="preserve">$1.02M CEO cluster buy; 5 insider buys total</t>
  </si>
  <si>
    <t xml:space="preserve">FDA &amp; Clinical Catalysts</t>
  </si>
  <si>
    <t xml:space="preserve">DNLI</t>
  </si>
  <si>
    <t xml:space="preserve">PDUFA April 5 (4 days away!) — tividenofusp alfa</t>
  </si>
  <si>
    <t xml:space="preserve">Social Sentiment &amp; Buzz</t>
  </si>
  <si>
    <t xml:space="preserve">Top trending; merger buzz dominating retail</t>
  </si>
  <si>
    <t xml:space="preserve">Conference Calendar</t>
  </si>
  <si>
    <t xml:space="preserve">AACR</t>
  </si>
  <si>
    <t xml:space="preserve">April 17-22 in San Diego — BriaCell, Circle Pharma</t>
  </si>
  <si>
    <t xml:space="preserve">Multi-Signal Cross-Reference</t>
  </si>
  <si>
    <t xml:space="preserve">CYCN/DNLI/ZBIO</t>
  </si>
  <si>
    <t xml:space="preserve">3 stocks with 2+ converging signals</t>
  </si>
  <si>
    <t xml:space="preserve">TOTAL SIGNALS FOUND</t>
  </si>
  <si>
    <t xml:space="preserve">⭐ MULTI-SIGNAL ALERTS (Stocks appearing in 2+ categories)</t>
  </si>
  <si>
    <t xml:space="preserve">Ticker</t>
  </si>
  <si>
    <t xml:space="preserve">Company</t>
  </si>
  <si>
    <t xml:space="preserve">Signal Count</t>
  </si>
  <si>
    <t xml:space="preserve">Categories</t>
  </si>
  <si>
    <t xml:space="preserve">Priority</t>
  </si>
  <si>
    <t xml:space="preserve">Action</t>
  </si>
  <si>
    <t xml:space="preserve">Market Cap</t>
  </si>
  <si>
    <t xml:space="preserve">Key Date</t>
  </si>
  <si>
    <t xml:space="preserve">Cyclerion Therapeutics</t>
  </si>
  <si>
    <t xml:space="preserve">Volume + Social Buzz + M&amp;A Catalyst</t>
  </si>
  <si>
    <t xml:space="preserve">HIGH</t>
  </si>
  <si>
    <t xml:space="preserve">Watch merger close; potential new entry KRSA</t>
  </si>
  <si>
    <t xml:space="preserve">&lt;$50M</t>
  </si>
  <si>
    <t xml:space="preserve">Q3 2026 close</t>
  </si>
  <si>
    <t xml:space="preserve">Denali Therapeutics</t>
  </si>
  <si>
    <t xml:space="preserve">FDA Catalyst + Volume Watch</t>
  </si>
  <si>
    <t xml:space="preserve">Binary event Apr 5 — PDUFA for MPS II drug</t>
  </si>
  <si>
    <t xml:space="preserve">~$1.5-2B</t>
  </si>
  <si>
    <t xml:space="preserve">Apr 5, 2026</t>
  </si>
  <si>
    <t xml:space="preserve">Zenas BioPharma</t>
  </si>
  <si>
    <t xml:space="preserve">Insider Buying (Cluster) + FDA Catalyst</t>
  </si>
  <si>
    <t xml:space="preserve">Monitor BLA filing Q2; Phase 2 MS data due</t>
  </si>
  <si>
    <t xml:space="preserve">~$450M</t>
  </si>
  <si>
    <t xml:space="preserve">Q2 2026 BLA</t>
  </si>
  <si>
    <t xml:space="preserve">ONCY</t>
  </si>
  <si>
    <t xml:space="preserve">Oncolytics Biotech</t>
  </si>
  <si>
    <t xml:space="preserve">Insider Buying + FDA Meeting</t>
  </si>
  <si>
    <t xml:space="preserve">MEDIUM</t>
  </si>
  <si>
    <t xml:space="preserve">Micro-cap; watch Apr FDA meeting outcome</t>
  </si>
  <si>
    <t xml:space="preserve">~$30M</t>
  </si>
  <si>
    <t xml:space="preserve">Mid-Apr FDA mtg</t>
  </si>
  <si>
    <t xml:space="preserve">TNGX</t>
  </si>
  <si>
    <t xml:space="preserve">Tango Therapeutics</t>
  </si>
  <si>
    <t xml:space="preserve">Volume Mover + Pipeline Catalyst</t>
  </si>
  <si>
    <t xml:space="preserve">Strong cash runway; pivotal trial in 2026</t>
  </si>
  <si>
    <t xml:space="preserve">~$800M</t>
  </si>
  <si>
    <t xml:space="preserve">2026 trial start</t>
  </si>
  <si>
    <t xml:space="preserve">UNUSUAL VOLUME &amp; PRICE MOVERS — April 1, 2026</t>
  </si>
  <si>
    <t xml:space="preserve">Price</t>
  </si>
  <si>
    <t xml:space="preserve">% Change</t>
  </si>
  <si>
    <t xml:space="preserve">Vol vs Avg</t>
  </si>
  <si>
    <t xml:space="preserve">Signal Level</t>
  </si>
  <si>
    <t xml:space="preserve">Catalyst / Reason</t>
  </si>
  <si>
    <t xml:space="preserve">Source</t>
  </si>
  <si>
    <t xml:space="preserve">~$0.40</t>
  </si>
  <si>
    <t xml:space="preserve">+252% to +313%</t>
  </si>
  <si>
    <t xml:space="preserve">&gt;20x avg</t>
  </si>
  <si>
    <t xml:space="preserve">Merger with Korsana Biosciences; $380M private round for Alzheimer's; rebranding to KRSA on Nasdaq Q3 2026</t>
  </si>
  <si>
    <t xml:space="preserve">BusinessWire / ibtimes.com.au (Apr 1, 2026)</t>
  </si>
  <si>
    <t xml:space="preserve">ORIC</t>
  </si>
  <si>
    <t xml:space="preserve">Oric Pharmaceuticals</t>
  </si>
  <si>
    <t xml:space="preserve">~$5-6</t>
  </si>
  <si>
    <t xml:space="preserve">-27%</t>
  </si>
  <si>
    <t xml:space="preserve">&gt;5x avg</t>
  </si>
  <si>
    <t xml:space="preserve">~$250M</t>
  </si>
  <si>
    <t xml:space="preserve">HIGH (NEG)</t>
  </si>
  <si>
    <t xml:space="preserve">Negative: Rinzimetostat recommended Phase 3 dose selected for Himalayas-1 prostate cancer trial; market disappointed with data</t>
  </si>
  <si>
    <t xml:space="preserve">Investing.com (Mar 31, 2026)</t>
  </si>
  <si>
    <t xml:space="preserve">~$17</t>
  </si>
  <si>
    <t xml:space="preserve">+36%</t>
  </si>
  <si>
    <t xml:space="preserve">&gt;3x avg</t>
  </si>
  <si>
    <t xml:space="preserve">Strong Q4 2025 results beat; $343M cash to 2028; vopimetostat combo partnerships; 1,229% cumulative rally noted</t>
  </si>
  <si>
    <t xml:space="preserve">ibtimes.com.au / AInvest (Mar 5, 2026)</t>
  </si>
  <si>
    <t xml:space="preserve">IOBT</t>
  </si>
  <si>
    <t xml:space="preserve">IO Biotech</t>
  </si>
  <si>
    <t xml:space="preserve">$0.19</t>
  </si>
  <si>
    <t xml:space="preserve">+124% YTD</t>
  </si>
  <si>
    <t xml:space="preserve">Elevated</t>
  </si>
  <si>
    <t xml:space="preserve">~$16M</t>
  </si>
  <si>
    <t xml:space="preserve">Exploring strategic alternatives; retained Raymond James as financial advisor; melanoma cancer vaccine pipeline</t>
  </si>
  <si>
    <t xml:space="preserve">InvestingNews.com / Yahoo Finance (2026 YTD)</t>
  </si>
  <si>
    <t xml:space="preserve">SPRO</t>
  </si>
  <si>
    <t xml:space="preserve">Spero Therapeutics</t>
  </si>
  <si>
    <t xml:space="preserve">$1.91</t>
  </si>
  <si>
    <t xml:space="preserve">+60.5% YTD</t>
  </si>
  <si>
    <t xml:space="preserve">~$75M</t>
  </si>
  <si>
    <t xml:space="preserve">Biotech sector momentum; antibiotics pipeline; anti-infectives space gaining attention</t>
  </si>
  <si>
    <t xml:space="preserve">InvestingNews.com (2026 YTD)</t>
  </si>
  <si>
    <t xml:space="preserve">TNXP</t>
  </si>
  <si>
    <t xml:space="preserve">Tonix Pharmaceuticals</t>
  </si>
  <si>
    <t xml:space="preserve">~$2-3</t>
  </si>
  <si>
    <t xml:space="preserve">See notes</t>
  </si>
  <si>
    <t xml:space="preserve">~$60M</t>
  </si>
  <si>
    <t xml:space="preserve">570% gain in 2025; DoD contract up to $34M for TNX-4200 broad-spectrum antiviral; 2026 momentum continuation</t>
  </si>
  <si>
    <t xml:space="preserve">StocksToTrade / Timothy Sykes (2025-2026)</t>
  </si>
  <si>
    <t xml:space="preserve">BTAI</t>
  </si>
  <si>
    <t xml:space="preserve">BioXcel Therapeutics</t>
  </si>
  <si>
    <t xml:space="preserve">$1.34</t>
  </si>
  <si>
    <t xml:space="preserve">Watch</t>
  </si>
  <si>
    <t xml:space="preserve">Moderate</t>
  </si>
  <si>
    <t xml:space="preserve">~$29.5M</t>
  </si>
  <si>
    <t xml:space="preserve">PDUFA Nov 14 2026 (IGALMI at-home); at-home launch Sept 2026; 86M annual agitation episodes addressable</t>
  </si>
  <si>
    <t xml:space="preserve">BioXcel IR / companiesmarketcap.com (Mar 31, 2026)</t>
  </si>
  <si>
    <t xml:space="preserve">SEC INSIDER BUYING &amp; NOTABLE FILINGS — March-April 2026</t>
  </si>
  <si>
    <t xml:space="preserve">Insider Name</t>
  </si>
  <si>
    <t xml:space="preserve">Title</t>
  </si>
  <si>
    <t xml:space="preserve">Shares Bought</t>
  </si>
  <si>
    <t xml:space="preserve">Dollar Amount</t>
  </si>
  <si>
    <t xml:space="preserve">Date Filed</t>
  </si>
  <si>
    <t xml:space="preserve">Notes / Significance</t>
  </si>
  <si>
    <t xml:space="preserve">Leon O. Moulder Jr.</t>
  </si>
  <si>
    <t xml:space="preserve">Chief Executive Officer</t>
  </si>
  <si>
    <t xml:space="preserve">54,000</t>
  </si>
  <si>
    <t xml:space="preserve">$1,021,140</t>
  </si>
  <si>
    <t xml:space="preserve">3/30-3/31/2026</t>
  </si>
  <si>
    <t xml:space="preserve">CLUSTER BUY: $364,600 on 3/30 + $656,540 on 3/31. CEO buying ahead of imminent BLA filing for obexelimab (IgG4-RD). Strong conviction signal.</t>
  </si>
  <si>
    <t xml:space="preserve">IMNM</t>
  </si>
  <si>
    <t xml:space="preserve">Immunome Inc.</t>
  </si>
  <si>
    <t xml:space="preserve">Clay B. Siegall</t>
  </si>
  <si>
    <t xml:space="preserve">CEO &amp; President</t>
  </si>
  <si>
    <t xml:space="preserve">25,450</t>
  </si>
  <si>
    <t xml:space="preserve">$500,601</t>
  </si>
  <si>
    <t xml:space="preserve">3/27/2026</t>
  </si>
  <si>
    <t xml:space="preserve">CEO purchased at avg $19.67/share. IMNM market cap ~$2.18B (slightly above $2B threshold). Watch for pipeline catalysts.</t>
  </si>
  <si>
    <t xml:space="preserve">MBX</t>
  </si>
  <si>
    <t xml:space="preserve">MBX Biosciences</t>
  </si>
  <si>
    <t xml:space="preserve">P. Kent Hawryluk</t>
  </si>
  <si>
    <t xml:space="preserve">President &amp; CEO</t>
  </si>
  <si>
    <t xml:space="preserve">18,500 (indirect)</t>
  </si>
  <si>
    <t xml:space="preserve">~$526,000</t>
  </si>
  <si>
    <t xml:space="preserve">3/13/2026</t>
  </si>
  <si>
    <t xml:space="preserve">Stock has jumped ~270% past year. CEO continues to accumulate at avg $28.41. Significant insider conviction.</t>
  </si>
  <si>
    <t xml:space="preserve">IBIO</t>
  </si>
  <si>
    <t xml:space="preserve">iBio Inc.</t>
  </si>
  <si>
    <t xml:space="preserve">Marc Banjak</t>
  </si>
  <si>
    <t xml:space="preserve">Chief Legal Officer</t>
  </si>
  <si>
    <t xml:space="preserve">13,934</t>
  </si>
  <si>
    <t xml:space="preserve">~$24,860</t>
  </si>
  <si>
    <t xml:space="preserve">3/26/2026</t>
  </si>
  <si>
    <t xml:space="preserve">Open market purchase at $1.64-1.76/share. Micro-cap biotech. CLO buying suggests positive internal sentiment.</t>
  </si>
  <si>
    <t xml:space="preserve">Kelly Jared</t>
  </si>
  <si>
    <t xml:space="preserve">35,100</t>
  </si>
  <si>
    <t xml:space="preserve">~$29,700</t>
  </si>
  <si>
    <t xml:space="preserve">2/11-2/12/2026</t>
  </si>
  <si>
    <t xml:space="preserve">CEO bought 5,600 at $0.836 + 29,500 at $0.842. Micro-cap at ~$0.84/share. FDA meeting mid-April for SCAC registrational path.</t>
  </si>
  <si>
    <t xml:space="preserve">Insider (unnamed)</t>
  </si>
  <si>
    <t xml:space="preserve">N/A</t>
  </si>
  <si>
    <t xml:space="preserve">SELL</t>
  </si>
  <si>
    <t xml:space="preserve">$304,000</t>
  </si>
  <si>
    <t xml:space="preserve">3/30/2026</t>
  </si>
  <si>
    <t xml:space="preserve">NEUTRAL</t>
  </si>
  <si>
    <t xml:space="preserve">SELL amid 36% single-day surge — normal profit taking after major move. Not a negative long-term signal.</t>
  </si>
  <si>
    <t xml:space="preserve">AGIO</t>
  </si>
  <si>
    <t xml:space="preserve">Agios Pharmaceuticals</t>
  </si>
  <si>
    <t xml:space="preserve">$82,000</t>
  </si>
  <si>
    <t xml:space="preserve">3/31/2026</t>
  </si>
  <si>
    <t xml:space="preserve">Insider SELL of $82,000. Context matters — check if routine 10b5-1 plan. Not necessarily negative.</t>
  </si>
  <si>
    <t xml:space="preserve">Sources: Investing.com insider activity tracker, The Motley Fool SEC filings coverage, StockTitan Form 4 tracker (March-April 2026)</t>
  </si>
  <si>
    <t xml:space="preserve">FDA &amp; CLINICAL CATALYSTS — April-November 2026</t>
  </si>
  <si>
    <t xml:space="preserve">Drug Name</t>
  </si>
  <si>
    <t xml:space="preserve">Indication</t>
  </si>
  <si>
    <t xml:space="preserve">Catalyst Date</t>
  </si>
  <si>
    <t xml:space="preserve">Catalyst Type</t>
  </si>
  <si>
    <t xml:space="preserve">Special Designations</t>
  </si>
  <si>
    <t xml:space="preserve">Est. Move</t>
  </si>
  <si>
    <t xml:space="preserve">Notes</t>
  </si>
  <si>
    <t xml:space="preserve">Tividenofusp alfa (DNL310)</t>
  </si>
  <si>
    <t xml:space="preserve">Hunter Syndrome (MPS II)</t>
  </si>
  <si>
    <t xml:space="preserve">April 5, 2026</t>
  </si>
  <si>
    <t xml:space="preserve">PDUFA (BLA)</t>
  </si>
  <si>
    <t xml:space="preserve">BT + FT + OD + RPD</t>
  </si>
  <si>
    <t xml:space="preserve">+50-100% (approval) / -40-60% (CRL)</t>
  </si>
  <si>
    <t xml:space="preserve">IMMINENT — 4 days away! Extended from Jan 2026 due to molecular weight miscalculation. ERT for rare pediatric disease. Strong multi-designation support.</t>
  </si>
  <si>
    <t xml:space="preserve">Pelareorep</t>
  </si>
  <si>
    <t xml:space="preserve">Sq. Cell Anal Cancer (SCAC)</t>
  </si>
  <si>
    <t xml:space="preserve">Mid-April 2026</t>
  </si>
  <si>
    <t xml:space="preserve">FDA Meeting (Reg. Study)</t>
  </si>
  <si>
    <t xml:space="preserve">Fast Track</t>
  </si>
  <si>
    <t xml:space="preserve">+30-60% (positive meeting)</t>
  </si>
  <si>
    <t xml:space="preserve">FDA meeting to align on single-arm registrational study design. CEO recently bought shares. Micro-cap at $0.85. REO 033 colorectal cancer data expected year-end 2026.</t>
  </si>
  <si>
    <t xml:space="preserve">Obexelimab</t>
  </si>
  <si>
    <t xml:space="preserve">IgG4-Related Disease (IgG4-RD)</t>
  </si>
  <si>
    <t xml:space="preserve">Q2 2026 (BLA filing)</t>
  </si>
  <si>
    <t xml:space="preserve">BLA Filing</t>
  </si>
  <si>
    <t xml:space="preserve">Multiple (IND,etc.)</t>
  </si>
  <si>
    <t xml:space="preserve">+20-40% (filing accepted)</t>
  </si>
  <si>
    <t xml:space="preserve">Phase 3 INDIGO succeeded (56% flare risk reduction vs placebo). Also: 24-wk Phase 2 MS data Q1 2026, Phase 3 SPMS trial initiation, SunStone Phase 2 SLE topline expected 2026.</t>
  </si>
  <si>
    <t xml:space="preserve">Multiple Sclerosis (Phase 2)</t>
  </si>
  <si>
    <t xml:space="preserve">Q1 2026 (upcoming)</t>
  </si>
  <si>
    <t xml:space="preserve">Ph2 24-wk Data</t>
  </si>
  <si>
    <t xml:space="preserve">+20-30% (positive data)</t>
  </si>
  <si>
    <t xml:space="preserve">MoonStone 24-week data pending. Prior data showed 95% reduction in gadolinium-enhancing T1 lesions vs placebo. Phase 3 MS programs to follow.</t>
  </si>
  <si>
    <t xml:space="preserve">Vopimetostat (TNG462)</t>
  </si>
  <si>
    <t xml:space="preserve">MTAP-del Pancreatic Cancer (2L)</t>
  </si>
  <si>
    <t xml:space="preserve">2026 (pivotal start)</t>
  </si>
  <si>
    <t xml:space="preserve">Ph3 Trial Initiation</t>
  </si>
  <si>
    <t xml:space="preserve">+15-25% (trial initiation)</t>
  </si>
  <si>
    <t xml:space="preserve">Phase 1/2 shows 49% ORR, mPFS 9.1 months across 13-histology MTAP-del cohort. 7.2 months mPFS in 2L pancreatic. Partnered with Revolution Medicines and Erasca.</t>
  </si>
  <si>
    <t xml:space="preserve">IGALMI (dexmedetomidine)</t>
  </si>
  <si>
    <t xml:space="preserve">Agitation (at-home setting)</t>
  </si>
  <si>
    <t xml:space="preserve">November 14, 2026</t>
  </si>
  <si>
    <t xml:space="preserve">PDUFA (sNDA)</t>
  </si>
  <si>
    <t xml:space="preserve">None noted</t>
  </si>
  <si>
    <t xml:space="preserve">+50-80% (approval) / -30% (CRL)</t>
  </si>
  <si>
    <t xml:space="preserve">At-home launch planned Sept 2026. FDA accepted sNDA. Could be first FDA-approved at-home agitation treatment — 86M annual episodes. Micro-cap at $29.5M market cap.</t>
  </si>
  <si>
    <t xml:space="preserve">IGALMI for Alzheimer's Agitation</t>
  </si>
  <si>
    <t xml:space="preserve">Alzheimer's Disease Agitation</t>
  </si>
  <si>
    <t xml:space="preserve">2026/2027</t>
  </si>
  <si>
    <t xml:space="preserve">Ph3 Trial TRANQUILITY</t>
  </si>
  <si>
    <t xml:space="preserve">+30-50% (positive Ph3)</t>
  </si>
  <si>
    <t xml:space="preserve">TRANQUILITY In-Care Phase 3 being prepared after FDA protocol feedback. Large unmet need in Alzheimer's agitation space.</t>
  </si>
  <si>
    <t xml:space="preserve">KEY: BT=Breakthrough Therapy; FT=Fast Track; OD=Orphan Drug; RPD=Rare Pediatric Disease</t>
  </si>
  <si>
    <t xml:space="preserve">Sources: NeurologyLive, GlobeNewsWire, drug-dev.com, StockTitan, BioXcel IR, Zenas BioPharma IR, Oncolytics Biotech IR, ibtimes.com.au</t>
  </si>
  <si>
    <t xml:space="preserve">SOCIAL SENTIMENT &amp; RETAIL CHATTER — April 1, 2026</t>
  </si>
  <si>
    <t xml:space="preserve">Platform(s)</t>
  </si>
  <si>
    <t xml:space="preserve">Sentiment</t>
  </si>
  <si>
    <t xml:space="preserve">Momentum</t>
  </si>
  <si>
    <t xml:space="preserve">Message Volume</t>
  </si>
  <si>
    <t xml:space="preserve">Cyclerion Therapeutics/Korsana</t>
  </si>
  <si>
    <t xml:space="preserve">StockTwits, Twitter/X, Reddit, FinTwit</t>
  </si>
  <si>
    <t xml:space="preserve">VERY BULLISH</t>
  </si>
  <si>
    <t xml:space="preserve">EXPLOSIVE</t>
  </si>
  <si>
    <t xml:space="preserve">Very High (trending #1)</t>
  </si>
  <si>
    <t xml:space="preserve">Top trending ticker today. Merger announcement driving massive retail momentum. Pre-market already explosive. Watch for latecomers chasing gap-ups.</t>
  </si>
  <si>
    <t xml:space="preserve">FinTwit, AInvest, Reddit</t>
  </si>
  <si>
    <t xml:space="preserve">BULLISH</t>
  </si>
  <si>
    <t xml:space="preserve">High</t>
  </si>
  <si>
    <t xml:space="preserve">1,229% cumulative rally noted on AInvest; 36% single-day gain generated significant retail attention. Expectation gap around 2026 combo data noted as risk.</t>
  </si>
  <si>
    <t xml:space="preserve">StockTwits, Twitter/X</t>
  </si>
  <si>
    <t xml:space="preserve">BEARISH</t>
  </si>
  <si>
    <t xml:space="preserve">HIGH (NEGATIVE)</t>
  </si>
  <si>
    <t xml:space="preserve">Heavy selling post-trial data. Negative sentiment. Potential for oversold bounce or continued pressure. Short interest likely building.</t>
  </si>
  <si>
    <t xml:space="preserve">Reddit (biotech subs), StockTwits</t>
  </si>
  <si>
    <t xml:space="preserve">MILDLY BULLISH</t>
  </si>
  <si>
    <t xml:space="preserve">LOW-MEDIUM</t>
  </si>
  <si>
    <t xml:space="preserve">Low-Moderate</t>
  </si>
  <si>
    <t xml:space="preserve">Micro-cap with insider buying getting some attention in biotech subreddits. Low float makes it volatile. FDA meeting mid-April is catalyst watch.</t>
  </si>
  <si>
    <t xml:space="preserve">Twitter/X, Seeking Alpha</t>
  </si>
  <si>
    <t xml:space="preserve">Medium</t>
  </si>
  <si>
    <t xml:space="preserve">Analyst coverage positive after Phase 3 INDIGO success. CEO cluster buy generating buzz. Less retail vs institutional focus at this stage.</t>
  </si>
  <si>
    <t xml:space="preserve">XBI</t>
  </si>
  <si>
    <t xml:space="preserve">SPDR S&amp;P Biotech ETF (Sector)</t>
  </si>
  <si>
    <t xml:space="preserve">Reddit/WSB, Twitter/X</t>
  </si>
  <si>
    <t xml:space="preserve">Biotech sector up ~40% past year. WallStreetBets 2026 focused on AI/space but biotech benefits from M&amp;A wave narrative. Structural bull market in biotech per analysts.</t>
  </si>
  <si>
    <t xml:space="preserve">FinTwit, StockTwits</t>
  </si>
  <si>
    <t xml:space="preserve">CAUTIOUSLY BULLISH</t>
  </si>
  <si>
    <t xml:space="preserve">MEDIUM (rising)</t>
  </si>
  <si>
    <t xml:space="preserve">PDUFA in 4 days generating attention. Rare disease community very interested. Institutional and retail both watching April 5 decision carefully.</t>
  </si>
  <si>
    <t xml:space="preserve">BIOTECH CONFERENCE CALENDAR — April-June 2026</t>
  </si>
  <si>
    <t xml:space="preserve">Conference Name</t>
  </si>
  <si>
    <t xml:space="preserve">Dates</t>
  </si>
  <si>
    <t xml:space="preserve">Location</t>
  </si>
  <si>
    <t xml:space="preserve">Focus Area</t>
  </si>
  <si>
    <t xml:space="preserve">Status</t>
  </si>
  <si>
    <t xml:space="preserve">Notable Small-Cap Presenting Companies</t>
  </si>
  <si>
    <t xml:space="preserve">Investment Significance</t>
  </si>
  <si>
    <t xml:space="preserve">AACR Annual Meeting 2026</t>
  </si>
  <si>
    <t xml:space="preserve">April 17-22, 2026</t>
  </si>
  <si>
    <t xml:space="preserve">San Diego, CA (Convention Ctr)</t>
  </si>
  <si>
    <t xml:space="preserve">Oncology</t>
  </si>
  <si>
    <t xml:space="preserve">UPCOMING</t>
  </si>
  <si>
    <t xml:space="preserve">BriaCell Therapeutics (BCLI, 4 posters, pivotal Ph3 Bria-IMT), Circle Pharma (CID-078 first clinical data), Verismo Therapeutics (KiR-CAR-T first data)</t>
  </si>
  <si>
    <t xml:space="preserve">Premier cancer meeting. Abstracts live Apr 3 (regular), Apr 17 (late-breaking). Stocks can move 20-50%+ on surprise data.</t>
  </si>
  <si>
    <t xml:space="preserve">AACR Oncology Industry Partnering</t>
  </si>
  <si>
    <t xml:space="preserve">April 16-17, 2026</t>
  </si>
  <si>
    <t xml:space="preserve">San Diego, CA</t>
  </si>
  <si>
    <t xml:space="preserve">BD/Partnering</t>
  </si>
  <si>
    <t xml:space="preserve">800+ attendees; small-to-mid biotechs presenting for licensing deals</t>
  </si>
  <si>
    <t xml:space="preserve">Strong M&amp;A signal source. Companies often get acquisition interest or partnership deals announced around this event.</t>
  </si>
  <si>
    <t xml:space="preserve">Mizuho Oncology Therapeutics Summit</t>
  </si>
  <si>
    <t xml:space="preserve">April 2026 (TBD)</t>
  </si>
  <si>
    <t xml:space="preserve">TBD</t>
  </si>
  <si>
    <t xml:space="preserve">Oncology/Biotech</t>
  </si>
  <si>
    <t xml:space="preserve">Small/mid-cap oncology biotechs (specific companies TBD)</t>
  </si>
  <si>
    <t xml:space="preserve">Investor-focused; institutional capital allocation decisions made based on presentations.</t>
  </si>
  <si>
    <t xml:space="preserve">JPMorgan Napa Valley Biotech Forum (15th)</t>
  </si>
  <si>
    <t xml:space="preserve">San Francisco/Napa, CA</t>
  </si>
  <si>
    <t xml:space="preserve">Biotech/Pharma</t>
  </si>
  <si>
    <t xml:space="preserve">Elite selection of biotech companies — watch for deal announcements</t>
  </si>
  <si>
    <t xml:space="preserve">Historically generates M&amp;A activity and partnership announcements. Strong catalyst for presenting small-caps.</t>
  </si>
  <si>
    <t xml:space="preserve">ASCO Annual Meeting 2026</t>
  </si>
  <si>
    <t xml:space="preserve">May 29-June 2, 2026</t>
  </si>
  <si>
    <t xml:space="preserve">Chicago, IL</t>
  </si>
  <si>
    <t xml:space="preserve">Clinical Oncology</t>
  </si>
  <si>
    <t xml:space="preserve">UPCOMING (6 wks out)</t>
  </si>
  <si>
    <t xml:space="preserve">40,000+ attendees; watch abstracts for small-cap surprises</t>
  </si>
  <si>
    <t xml:space="preserve">Biggest oncology meeting. Start watching for abstract leaks in 4-6 weeks. Multiple 50-100%+ moves expected from surprise data.</t>
  </si>
  <si>
    <t xml:space="preserve">Cowen 46th Annual Healthcare Conference</t>
  </si>
  <si>
    <t xml:space="preserve">March 3-4, 2026</t>
  </si>
  <si>
    <t xml:space="preserve">Boston, MA</t>
  </si>
  <si>
    <t xml:space="preserve">Healthcare/Biotech</t>
  </si>
  <si>
    <t xml:space="preserve">PAST</t>
  </si>
  <si>
    <t xml:space="preserve">Wide range of biotech/pharma companies (completed)</t>
  </si>
  <si>
    <t xml:space="preserve">COMPLETED — Recap: Strong biotech presentations across oncology and rare disease generated institutional interest.</t>
  </si>
  <si>
    <t xml:space="preserve">Jefferies Biotech on the Bay Summit</t>
  </si>
  <si>
    <t xml:space="preserve">March 10-12, 2026</t>
  </si>
  <si>
    <t xml:space="preserve">Miami, FL</t>
  </si>
  <si>
    <t xml:space="preserve">Biotech</t>
  </si>
  <si>
    <t xml:space="preserve">Multiple small-cap biotechs presented (completed)</t>
  </si>
  <si>
    <t xml:space="preserve">COMPLETED — Several notable small-cap company presentations noted.</t>
  </si>
  <si>
    <t xml:space="preserve">Sources: AACR.org, ASCO Meetings, BioPharma Dive, Ozmosi.com, wewillcure.com, InvestingNews.com, business wire (Apr 2026)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</si>
</sst>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26B0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77777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9A"/>
        <bgColor rgb="FF666699"/>
      </patternFill>
    </fill>
    <fill>
      <patternFill patternType="solid">
        <fgColor rgb="FFEEF3FA"/>
        <bgColor rgb="FFF0F0F0"/>
      </patternFill>
    </fill>
    <fill>
      <patternFill patternType="solid">
        <fgColor rgb="FFFFFFFF"/>
        <bgColor rgb="FFEEF3FA"/>
      </patternFill>
    </fill>
    <fill>
      <patternFill patternType="solid">
        <fgColor rgb="FFC00000"/>
        <bgColor rgb="FF800000"/>
      </patternFill>
    </fill>
    <fill>
      <patternFill patternType="solid">
        <fgColor rgb="FFE26B0A"/>
        <bgColor rgb="FFFF9900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0F0F0"/>
      </patternFill>
    </fill>
    <fill>
      <patternFill patternType="solid">
        <fgColor rgb="FFF0F0F0"/>
        <bgColor rgb="FFEEF3FA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6B0A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7777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2CC"/>
      <rgbColor rgb="FFEEF3FA"/>
      <rgbColor rgb="FF660066"/>
      <rgbColor rgb="FFFF8080"/>
      <rgbColor rgb="FF2E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8" min="7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5" t="n">
        <v>4</v>
      </c>
      <c r="C5" s="6" t="n">
        <v>2</v>
      </c>
      <c r="D5" s="7" t="n">
        <v>2</v>
      </c>
      <c r="E5" s="4" t="s">
        <v>9</v>
      </c>
      <c r="F5" s="4" t="s">
        <v>10</v>
      </c>
    </row>
    <row r="6" customFormat="false" ht="21.75" hidden="false" customHeight="true" outlineLevel="0" collapsed="false">
      <c r="A6" s="8" t="s">
        <v>11</v>
      </c>
      <c r="B6" s="9" t="n">
        <v>5</v>
      </c>
      <c r="C6" s="10" t="n">
        <v>1</v>
      </c>
      <c r="D6" s="11" t="n">
        <v>4</v>
      </c>
      <c r="E6" s="8" t="s">
        <v>12</v>
      </c>
      <c r="F6" s="8" t="s">
        <v>13</v>
      </c>
    </row>
    <row r="7" customFormat="false" ht="21.75" hidden="false" customHeight="true" outlineLevel="0" collapsed="false">
      <c r="A7" s="4" t="s">
        <v>14</v>
      </c>
      <c r="B7" s="5" t="n">
        <v>5</v>
      </c>
      <c r="C7" s="6" t="n">
        <v>1</v>
      </c>
      <c r="D7" s="7" t="n">
        <v>4</v>
      </c>
      <c r="E7" s="4" t="s">
        <v>15</v>
      </c>
      <c r="F7" s="4" t="s">
        <v>16</v>
      </c>
    </row>
    <row r="8" customFormat="false" ht="21.75" hidden="false" customHeight="true" outlineLevel="0" collapsed="false">
      <c r="A8" s="8" t="s">
        <v>17</v>
      </c>
      <c r="B8" s="9" t="n">
        <v>3</v>
      </c>
      <c r="C8" s="10" t="n">
        <v>1</v>
      </c>
      <c r="D8" s="11" t="n">
        <v>2</v>
      </c>
      <c r="E8" s="8" t="s">
        <v>9</v>
      </c>
      <c r="F8" s="8" t="s">
        <v>18</v>
      </c>
    </row>
    <row r="9" customFormat="false" ht="21.75" hidden="false" customHeight="true" outlineLevel="0" collapsed="false">
      <c r="A9" s="4" t="s">
        <v>19</v>
      </c>
      <c r="B9" s="5" t="n">
        <v>5</v>
      </c>
      <c r="C9" s="6" t="n">
        <v>1</v>
      </c>
      <c r="D9" s="7" t="n">
        <v>2</v>
      </c>
      <c r="E9" s="4" t="s">
        <v>20</v>
      </c>
      <c r="F9" s="4" t="s">
        <v>21</v>
      </c>
    </row>
    <row r="10" customFormat="false" ht="21.75" hidden="false" customHeight="true" outlineLevel="0" collapsed="false">
      <c r="A10" s="8" t="s">
        <v>22</v>
      </c>
      <c r="B10" s="9" t="n">
        <v>4</v>
      </c>
      <c r="C10" s="10" t="n">
        <v>3</v>
      </c>
      <c r="D10" s="11" t="n">
        <v>1</v>
      </c>
      <c r="E10" s="8" t="s">
        <v>23</v>
      </c>
      <c r="F10" s="8" t="s">
        <v>24</v>
      </c>
    </row>
    <row r="11" customFormat="false" ht="21.75" hidden="false" customHeight="true" outlineLevel="0" collapsed="false">
      <c r="A11" s="12" t="s">
        <v>25</v>
      </c>
      <c r="B11" s="12"/>
      <c r="C11" s="13" t="n">
        <f aca="false">SUM(C5:C10)</f>
        <v>9</v>
      </c>
      <c r="D11" s="14" t="n">
        <f aca="false">SUM(D5:D10)</f>
        <v>15</v>
      </c>
      <c r="E11" s="15"/>
      <c r="F11" s="15"/>
      <c r="G11" s="15"/>
      <c r="H11" s="15"/>
    </row>
    <row r="12" customFormat="false" ht="12" hidden="false" customHeight="true" outlineLevel="0" collapsed="false"/>
    <row r="13" customFormat="false" ht="27.75" hidden="false" customHeight="true" outlineLevel="0" collapsed="false">
      <c r="A13" s="16" t="s">
        <v>26</v>
      </c>
      <c r="B13" s="16"/>
      <c r="C13" s="16"/>
      <c r="D13" s="16"/>
      <c r="E13" s="16"/>
      <c r="F13" s="16"/>
      <c r="G13" s="16"/>
      <c r="H13" s="16"/>
    </row>
    <row r="14" customFormat="false" ht="24.75" hidden="false" customHeight="true" outlineLevel="0" collapsed="false">
      <c r="A14" s="3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</row>
    <row r="15" customFormat="false" ht="21.75" hidden="false" customHeight="true" outlineLevel="0" collapsed="false">
      <c r="A15" s="17" t="s">
        <v>9</v>
      </c>
      <c r="B15" s="17" t="s">
        <v>35</v>
      </c>
      <c r="C15" s="18" t="n">
        <v>3</v>
      </c>
      <c r="D15" s="17" t="s">
        <v>36</v>
      </c>
      <c r="E15" s="19" t="s">
        <v>37</v>
      </c>
      <c r="F15" s="17" t="s">
        <v>38</v>
      </c>
      <c r="G15" s="17" t="s">
        <v>39</v>
      </c>
      <c r="H15" s="17" t="s">
        <v>40</v>
      </c>
    </row>
    <row r="16" customFormat="false" ht="21.75" hidden="false" customHeight="true" outlineLevel="0" collapsed="false">
      <c r="A16" s="17" t="s">
        <v>15</v>
      </c>
      <c r="B16" s="17" t="s">
        <v>41</v>
      </c>
      <c r="C16" s="18" t="n">
        <v>2</v>
      </c>
      <c r="D16" s="17" t="s">
        <v>42</v>
      </c>
      <c r="E16" s="19" t="s">
        <v>37</v>
      </c>
      <c r="F16" s="17" t="s">
        <v>43</v>
      </c>
      <c r="G16" s="17" t="s">
        <v>44</v>
      </c>
      <c r="H16" s="17" t="s">
        <v>45</v>
      </c>
    </row>
    <row r="17" customFormat="false" ht="21.75" hidden="false" customHeight="true" outlineLevel="0" collapsed="false">
      <c r="A17" s="17" t="s">
        <v>12</v>
      </c>
      <c r="B17" s="17" t="s">
        <v>46</v>
      </c>
      <c r="C17" s="18" t="n">
        <v>2</v>
      </c>
      <c r="D17" s="17" t="s">
        <v>47</v>
      </c>
      <c r="E17" s="19" t="s">
        <v>37</v>
      </c>
      <c r="F17" s="17" t="s">
        <v>48</v>
      </c>
      <c r="G17" s="17" t="s">
        <v>49</v>
      </c>
      <c r="H17" s="17" t="s">
        <v>50</v>
      </c>
    </row>
    <row r="18" customFormat="false" ht="21.75" hidden="false" customHeight="true" outlineLevel="0" collapsed="false">
      <c r="A18" s="20" t="s">
        <v>51</v>
      </c>
      <c r="B18" s="20" t="s">
        <v>52</v>
      </c>
      <c r="C18" s="21" t="n">
        <v>2</v>
      </c>
      <c r="D18" s="20" t="s">
        <v>53</v>
      </c>
      <c r="E18" s="22" t="s">
        <v>54</v>
      </c>
      <c r="F18" s="20" t="s">
        <v>55</v>
      </c>
      <c r="G18" s="20" t="s">
        <v>56</v>
      </c>
      <c r="H18" s="20" t="s">
        <v>57</v>
      </c>
    </row>
    <row r="19" customFormat="false" ht="21.75" hidden="false" customHeight="true" outlineLevel="0" collapsed="false">
      <c r="A19" s="20" t="s">
        <v>58</v>
      </c>
      <c r="B19" s="20" t="s">
        <v>59</v>
      </c>
      <c r="C19" s="21" t="n">
        <v>2</v>
      </c>
      <c r="D19" s="20" t="s">
        <v>60</v>
      </c>
      <c r="E19" s="22" t="s">
        <v>54</v>
      </c>
      <c r="F19" s="20" t="s">
        <v>61</v>
      </c>
      <c r="G19" s="20" t="s">
        <v>62</v>
      </c>
      <c r="H19" s="20" t="s">
        <v>63</v>
      </c>
    </row>
  </sheetData>
  <mergeCells count="4">
    <mergeCell ref="A1:H1"/>
    <mergeCell ref="A2:H2"/>
    <mergeCell ref="A11:B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7" min="6" style="0" width="13"/>
    <col collapsed="false" customWidth="true" hidden="false" outlineLevel="0" max="8" min="8" style="0" width="38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23" t="s">
        <v>64</v>
      </c>
      <c r="B1" s="23"/>
      <c r="C1" s="23"/>
      <c r="D1" s="23"/>
      <c r="E1" s="23"/>
      <c r="F1" s="23"/>
      <c r="G1" s="23"/>
      <c r="H1" s="23"/>
      <c r="I1" s="23"/>
    </row>
    <row r="2" customFormat="false" ht="24.75" hidden="false" customHeight="true" outlineLevel="0" collapsed="false">
      <c r="A2" s="3" t="s">
        <v>27</v>
      </c>
      <c r="B2" s="3" t="s">
        <v>28</v>
      </c>
      <c r="C2" s="3" t="s">
        <v>65</v>
      </c>
      <c r="D2" s="3" t="s">
        <v>66</v>
      </c>
      <c r="E2" s="3" t="s">
        <v>67</v>
      </c>
      <c r="F2" s="3" t="s">
        <v>33</v>
      </c>
      <c r="G2" s="3" t="s">
        <v>68</v>
      </c>
      <c r="H2" s="3" t="s">
        <v>69</v>
      </c>
      <c r="I2" s="3" t="s">
        <v>70</v>
      </c>
    </row>
    <row r="3" customFormat="false" ht="30" hidden="false" customHeight="true" outlineLevel="0" collapsed="false">
      <c r="A3" s="17" t="s">
        <v>9</v>
      </c>
      <c r="B3" s="17" t="s">
        <v>35</v>
      </c>
      <c r="C3" s="17" t="s">
        <v>71</v>
      </c>
      <c r="D3" s="17" t="s">
        <v>72</v>
      </c>
      <c r="E3" s="17" t="s">
        <v>73</v>
      </c>
      <c r="F3" s="17" t="s">
        <v>39</v>
      </c>
      <c r="G3" s="19" t="s">
        <v>37</v>
      </c>
      <c r="H3" s="17" t="s">
        <v>74</v>
      </c>
      <c r="I3" s="17" t="s">
        <v>75</v>
      </c>
    </row>
    <row r="4" customFormat="false" ht="30" hidden="false" customHeight="true" outlineLevel="0" collapsed="false">
      <c r="A4" s="17" t="s">
        <v>76</v>
      </c>
      <c r="B4" s="17" t="s">
        <v>77</v>
      </c>
      <c r="C4" s="17" t="s">
        <v>78</v>
      </c>
      <c r="D4" s="17" t="s">
        <v>79</v>
      </c>
      <c r="E4" s="17" t="s">
        <v>80</v>
      </c>
      <c r="F4" s="17" t="s">
        <v>81</v>
      </c>
      <c r="G4" s="19" t="s">
        <v>82</v>
      </c>
      <c r="H4" s="17" t="s">
        <v>83</v>
      </c>
      <c r="I4" s="17" t="s">
        <v>84</v>
      </c>
    </row>
    <row r="5" customFormat="false" ht="30" hidden="false" customHeight="true" outlineLevel="0" collapsed="false">
      <c r="A5" s="4" t="s">
        <v>58</v>
      </c>
      <c r="B5" s="4" t="s">
        <v>59</v>
      </c>
      <c r="C5" s="4" t="s">
        <v>85</v>
      </c>
      <c r="D5" s="4" t="s">
        <v>86</v>
      </c>
      <c r="E5" s="4" t="s">
        <v>87</v>
      </c>
      <c r="F5" s="4" t="s">
        <v>62</v>
      </c>
      <c r="G5" s="22" t="s">
        <v>54</v>
      </c>
      <c r="H5" s="4" t="s">
        <v>88</v>
      </c>
      <c r="I5" s="4" t="s">
        <v>89</v>
      </c>
    </row>
    <row r="6" customFormat="false" ht="30" hidden="false" customHeight="true" outlineLevel="0" collapsed="false">
      <c r="A6" s="8" t="s">
        <v>90</v>
      </c>
      <c r="B6" s="8" t="s">
        <v>91</v>
      </c>
      <c r="C6" s="8" t="s">
        <v>92</v>
      </c>
      <c r="D6" s="8" t="s">
        <v>93</v>
      </c>
      <c r="E6" s="8" t="s">
        <v>94</v>
      </c>
      <c r="F6" s="8" t="s">
        <v>95</v>
      </c>
      <c r="G6" s="22" t="s">
        <v>54</v>
      </c>
      <c r="H6" s="8" t="s">
        <v>96</v>
      </c>
      <c r="I6" s="8" t="s">
        <v>97</v>
      </c>
    </row>
    <row r="7" customFormat="false" ht="30" hidden="false" customHeight="true" outlineLevel="0" collapsed="false">
      <c r="A7" s="4" t="s">
        <v>98</v>
      </c>
      <c r="B7" s="4" t="s">
        <v>99</v>
      </c>
      <c r="C7" s="4" t="s">
        <v>100</v>
      </c>
      <c r="D7" s="4" t="s">
        <v>101</v>
      </c>
      <c r="E7" s="4" t="s">
        <v>94</v>
      </c>
      <c r="F7" s="4" t="s">
        <v>102</v>
      </c>
      <c r="G7" s="22" t="s">
        <v>54</v>
      </c>
      <c r="H7" s="4" t="s">
        <v>103</v>
      </c>
      <c r="I7" s="4" t="s">
        <v>104</v>
      </c>
    </row>
    <row r="8" customFormat="false" ht="30" hidden="false" customHeight="true" outlineLevel="0" collapsed="false">
      <c r="A8" s="8" t="s">
        <v>105</v>
      </c>
      <c r="B8" s="8" t="s">
        <v>106</v>
      </c>
      <c r="C8" s="8" t="s">
        <v>107</v>
      </c>
      <c r="D8" s="8" t="s">
        <v>108</v>
      </c>
      <c r="E8" s="8" t="s">
        <v>94</v>
      </c>
      <c r="F8" s="8" t="s">
        <v>109</v>
      </c>
      <c r="G8" s="22" t="s">
        <v>54</v>
      </c>
      <c r="H8" s="8" t="s">
        <v>110</v>
      </c>
      <c r="I8" s="8" t="s">
        <v>111</v>
      </c>
    </row>
    <row r="9" customFormat="false" ht="30" hidden="false" customHeight="true" outlineLevel="0" collapsed="false">
      <c r="A9" s="4" t="s">
        <v>112</v>
      </c>
      <c r="B9" s="4" t="s">
        <v>113</v>
      </c>
      <c r="C9" s="4" t="s">
        <v>114</v>
      </c>
      <c r="D9" s="4" t="s">
        <v>115</v>
      </c>
      <c r="E9" s="4" t="s">
        <v>116</v>
      </c>
      <c r="F9" s="4" t="s">
        <v>117</v>
      </c>
      <c r="G9" s="22" t="s">
        <v>54</v>
      </c>
      <c r="H9" s="4" t="s">
        <v>118</v>
      </c>
      <c r="I9" s="4" t="s">
        <v>119</v>
      </c>
    </row>
  </sheetData>
  <autoFilter ref="A2:I9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8"/>
  </cols>
  <sheetData>
    <row r="1" customFormat="false" ht="31.5" hidden="false" customHeight="true" outlineLevel="0" collapsed="false">
      <c r="A1" s="23" t="s">
        <v>120</v>
      </c>
      <c r="B1" s="23"/>
      <c r="C1" s="23"/>
      <c r="D1" s="23"/>
      <c r="E1" s="23"/>
      <c r="F1" s="23"/>
      <c r="G1" s="23"/>
      <c r="H1" s="23"/>
      <c r="I1" s="23"/>
    </row>
    <row r="2" customFormat="false" ht="24.75" hidden="false" customHeight="true" outlineLevel="0" collapsed="false">
      <c r="A2" s="3" t="s">
        <v>27</v>
      </c>
      <c r="B2" s="3" t="s">
        <v>28</v>
      </c>
      <c r="C2" s="3" t="s">
        <v>121</v>
      </c>
      <c r="D2" s="3" t="s">
        <v>122</v>
      </c>
      <c r="E2" s="3" t="s">
        <v>123</v>
      </c>
      <c r="F2" s="3" t="s">
        <v>124</v>
      </c>
      <c r="G2" s="3" t="s">
        <v>125</v>
      </c>
      <c r="H2" s="3" t="s">
        <v>68</v>
      </c>
      <c r="I2" s="3" t="s">
        <v>126</v>
      </c>
    </row>
    <row r="3" customFormat="false" ht="30" hidden="false" customHeight="true" outlineLevel="0" collapsed="false">
      <c r="A3" s="17" t="s">
        <v>12</v>
      </c>
      <c r="B3" s="17" t="s">
        <v>46</v>
      </c>
      <c r="C3" s="17" t="s">
        <v>127</v>
      </c>
      <c r="D3" s="17" t="s">
        <v>128</v>
      </c>
      <c r="E3" s="17" t="s">
        <v>129</v>
      </c>
      <c r="F3" s="17" t="s">
        <v>130</v>
      </c>
      <c r="G3" s="17" t="s">
        <v>131</v>
      </c>
      <c r="H3" s="19" t="s">
        <v>37</v>
      </c>
      <c r="I3" s="17" t="s">
        <v>132</v>
      </c>
    </row>
    <row r="4" customFormat="false" ht="30" hidden="false" customHeight="true" outlineLevel="0" collapsed="false">
      <c r="A4" s="4" t="s">
        <v>133</v>
      </c>
      <c r="B4" s="4" t="s">
        <v>134</v>
      </c>
      <c r="C4" s="4" t="s">
        <v>135</v>
      </c>
      <c r="D4" s="4" t="s">
        <v>136</v>
      </c>
      <c r="E4" s="4" t="s">
        <v>137</v>
      </c>
      <c r="F4" s="4" t="s">
        <v>138</v>
      </c>
      <c r="G4" s="4" t="s">
        <v>139</v>
      </c>
      <c r="H4" s="22" t="s">
        <v>54</v>
      </c>
      <c r="I4" s="4" t="s">
        <v>140</v>
      </c>
    </row>
    <row r="5" customFormat="false" ht="30" hidden="false" customHeight="true" outlineLevel="0" collapsed="false">
      <c r="A5" s="8" t="s">
        <v>141</v>
      </c>
      <c r="B5" s="8" t="s">
        <v>142</v>
      </c>
      <c r="C5" s="8" t="s">
        <v>143</v>
      </c>
      <c r="D5" s="8" t="s">
        <v>144</v>
      </c>
      <c r="E5" s="8" t="s">
        <v>145</v>
      </c>
      <c r="F5" s="8" t="s">
        <v>146</v>
      </c>
      <c r="G5" s="8" t="s">
        <v>147</v>
      </c>
      <c r="H5" s="22" t="s">
        <v>54</v>
      </c>
      <c r="I5" s="8" t="s">
        <v>148</v>
      </c>
    </row>
    <row r="6" customFormat="false" ht="30" hidden="false" customHeight="true" outlineLevel="0" collapsed="false">
      <c r="A6" s="4" t="s">
        <v>149</v>
      </c>
      <c r="B6" s="4" t="s">
        <v>150</v>
      </c>
      <c r="C6" s="4" t="s">
        <v>151</v>
      </c>
      <c r="D6" s="4" t="s">
        <v>152</v>
      </c>
      <c r="E6" s="4" t="s">
        <v>153</v>
      </c>
      <c r="F6" s="4" t="s">
        <v>154</v>
      </c>
      <c r="G6" s="4" t="s">
        <v>155</v>
      </c>
      <c r="H6" s="22" t="s">
        <v>54</v>
      </c>
      <c r="I6" s="4" t="s">
        <v>156</v>
      </c>
    </row>
    <row r="7" customFormat="false" ht="30" hidden="false" customHeight="true" outlineLevel="0" collapsed="false">
      <c r="A7" s="8" t="s">
        <v>51</v>
      </c>
      <c r="B7" s="8" t="s">
        <v>52</v>
      </c>
      <c r="C7" s="8" t="s">
        <v>157</v>
      </c>
      <c r="D7" s="8" t="s">
        <v>128</v>
      </c>
      <c r="E7" s="8" t="s">
        <v>158</v>
      </c>
      <c r="F7" s="8" t="s">
        <v>159</v>
      </c>
      <c r="G7" s="8" t="s">
        <v>160</v>
      </c>
      <c r="H7" s="22" t="s">
        <v>54</v>
      </c>
      <c r="I7" s="8" t="s">
        <v>161</v>
      </c>
    </row>
    <row r="8" customFormat="false" ht="30" hidden="false" customHeight="true" outlineLevel="0" collapsed="false">
      <c r="A8" s="24" t="s">
        <v>58</v>
      </c>
      <c r="B8" s="24" t="s">
        <v>59</v>
      </c>
      <c r="C8" s="24" t="s">
        <v>162</v>
      </c>
      <c r="D8" s="24" t="s">
        <v>163</v>
      </c>
      <c r="E8" s="24" t="s">
        <v>164</v>
      </c>
      <c r="F8" s="24" t="s">
        <v>165</v>
      </c>
      <c r="G8" s="24" t="s">
        <v>166</v>
      </c>
      <c r="H8" s="25" t="s">
        <v>167</v>
      </c>
      <c r="I8" s="24" t="s">
        <v>168</v>
      </c>
    </row>
    <row r="9" customFormat="false" ht="30" hidden="false" customHeight="true" outlineLevel="0" collapsed="false">
      <c r="A9" s="24" t="s">
        <v>169</v>
      </c>
      <c r="B9" s="24" t="s">
        <v>170</v>
      </c>
      <c r="C9" s="24" t="s">
        <v>162</v>
      </c>
      <c r="D9" s="24" t="s">
        <v>163</v>
      </c>
      <c r="E9" s="24" t="s">
        <v>164</v>
      </c>
      <c r="F9" s="24" t="s">
        <v>171</v>
      </c>
      <c r="G9" s="24" t="s">
        <v>172</v>
      </c>
      <c r="H9" s="25" t="s">
        <v>167</v>
      </c>
      <c r="I9" s="24" t="s">
        <v>173</v>
      </c>
    </row>
    <row r="11" customFormat="false" ht="15" hidden="false" customHeight="false" outlineLevel="0" collapsed="false">
      <c r="A11" s="26" t="s">
        <v>174</v>
      </c>
    </row>
  </sheetData>
  <autoFilter ref="A2:I9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36"/>
  </cols>
  <sheetData>
    <row r="1" customFormat="false" ht="31.5" hidden="false" customHeight="true" outlineLevel="0" collapsed="false">
      <c r="A1" s="23" t="s">
        <v>175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24.75" hidden="false" customHeight="true" outlineLevel="0" collapsed="false">
      <c r="A2" s="3" t="s">
        <v>27</v>
      </c>
      <c r="B2" s="3" t="s">
        <v>28</v>
      </c>
      <c r="C2" s="3" t="s">
        <v>176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68</v>
      </c>
      <c r="I2" s="3" t="s">
        <v>181</v>
      </c>
      <c r="J2" s="3" t="s">
        <v>182</v>
      </c>
    </row>
    <row r="3" customFormat="false" ht="34.5" hidden="false" customHeight="true" outlineLevel="0" collapsed="false">
      <c r="A3" s="17" t="s">
        <v>15</v>
      </c>
      <c r="B3" s="17" t="s">
        <v>41</v>
      </c>
      <c r="C3" s="17" t="s">
        <v>183</v>
      </c>
      <c r="D3" s="17" t="s">
        <v>184</v>
      </c>
      <c r="E3" s="17" t="s">
        <v>185</v>
      </c>
      <c r="F3" s="17" t="s">
        <v>186</v>
      </c>
      <c r="G3" s="17" t="s">
        <v>187</v>
      </c>
      <c r="H3" s="19" t="s">
        <v>37</v>
      </c>
      <c r="I3" s="17" t="s">
        <v>188</v>
      </c>
      <c r="J3" s="17" t="s">
        <v>189</v>
      </c>
    </row>
    <row r="4" customFormat="false" ht="34.5" hidden="false" customHeight="true" outlineLevel="0" collapsed="false">
      <c r="A4" s="20" t="s">
        <v>51</v>
      </c>
      <c r="B4" s="20" t="s">
        <v>52</v>
      </c>
      <c r="C4" s="20" t="s">
        <v>190</v>
      </c>
      <c r="D4" s="20" t="s">
        <v>191</v>
      </c>
      <c r="E4" s="20" t="s">
        <v>192</v>
      </c>
      <c r="F4" s="20" t="s">
        <v>193</v>
      </c>
      <c r="G4" s="20" t="s">
        <v>194</v>
      </c>
      <c r="H4" s="22" t="s">
        <v>54</v>
      </c>
      <c r="I4" s="20" t="s">
        <v>195</v>
      </c>
      <c r="J4" s="20" t="s">
        <v>196</v>
      </c>
    </row>
    <row r="5" customFormat="false" ht="34.5" hidden="false" customHeight="true" outlineLevel="0" collapsed="false">
      <c r="A5" s="17" t="s">
        <v>12</v>
      </c>
      <c r="B5" s="17" t="s">
        <v>46</v>
      </c>
      <c r="C5" s="17" t="s">
        <v>197</v>
      </c>
      <c r="D5" s="17" t="s">
        <v>198</v>
      </c>
      <c r="E5" s="17" t="s">
        <v>199</v>
      </c>
      <c r="F5" s="17" t="s">
        <v>200</v>
      </c>
      <c r="G5" s="17" t="s">
        <v>201</v>
      </c>
      <c r="H5" s="19" t="s">
        <v>37</v>
      </c>
      <c r="I5" s="17" t="s">
        <v>202</v>
      </c>
      <c r="J5" s="17" t="s">
        <v>203</v>
      </c>
    </row>
    <row r="6" customFormat="false" ht="34.5" hidden="false" customHeight="true" outlineLevel="0" collapsed="false">
      <c r="A6" s="20" t="s">
        <v>12</v>
      </c>
      <c r="B6" s="20" t="s">
        <v>46</v>
      </c>
      <c r="C6" s="20" t="s">
        <v>197</v>
      </c>
      <c r="D6" s="20" t="s">
        <v>204</v>
      </c>
      <c r="E6" s="20" t="s">
        <v>205</v>
      </c>
      <c r="F6" s="20" t="s">
        <v>206</v>
      </c>
      <c r="G6" s="20" t="s">
        <v>163</v>
      </c>
      <c r="H6" s="22" t="s">
        <v>54</v>
      </c>
      <c r="I6" s="20" t="s">
        <v>207</v>
      </c>
      <c r="J6" s="20" t="s">
        <v>208</v>
      </c>
    </row>
    <row r="7" customFormat="false" ht="34.5" hidden="false" customHeight="true" outlineLevel="0" collapsed="false">
      <c r="A7" s="20" t="s">
        <v>58</v>
      </c>
      <c r="B7" s="20" t="s">
        <v>59</v>
      </c>
      <c r="C7" s="20" t="s">
        <v>209</v>
      </c>
      <c r="D7" s="20" t="s">
        <v>210</v>
      </c>
      <c r="E7" s="20" t="s">
        <v>211</v>
      </c>
      <c r="F7" s="20" t="s">
        <v>212</v>
      </c>
      <c r="G7" s="20" t="s">
        <v>163</v>
      </c>
      <c r="H7" s="22" t="s">
        <v>54</v>
      </c>
      <c r="I7" s="20" t="s">
        <v>213</v>
      </c>
      <c r="J7" s="20" t="s">
        <v>214</v>
      </c>
    </row>
    <row r="8" customFormat="false" ht="34.5" hidden="false" customHeight="true" outlineLevel="0" collapsed="false">
      <c r="A8" s="20" t="s">
        <v>112</v>
      </c>
      <c r="B8" s="20" t="s">
        <v>113</v>
      </c>
      <c r="C8" s="20" t="s">
        <v>215</v>
      </c>
      <c r="D8" s="20" t="s">
        <v>216</v>
      </c>
      <c r="E8" s="20" t="s">
        <v>217</v>
      </c>
      <c r="F8" s="20" t="s">
        <v>218</v>
      </c>
      <c r="G8" s="20" t="s">
        <v>219</v>
      </c>
      <c r="H8" s="22" t="s">
        <v>54</v>
      </c>
      <c r="I8" s="20" t="s">
        <v>220</v>
      </c>
      <c r="J8" s="20" t="s">
        <v>221</v>
      </c>
    </row>
    <row r="9" customFormat="false" ht="34.5" hidden="false" customHeight="true" outlineLevel="0" collapsed="false">
      <c r="A9" s="8" t="s">
        <v>112</v>
      </c>
      <c r="B9" s="8" t="s">
        <v>113</v>
      </c>
      <c r="C9" s="8" t="s">
        <v>222</v>
      </c>
      <c r="D9" s="8" t="s">
        <v>223</v>
      </c>
      <c r="E9" s="8" t="s">
        <v>224</v>
      </c>
      <c r="F9" s="8" t="s">
        <v>225</v>
      </c>
      <c r="G9" s="8" t="s">
        <v>163</v>
      </c>
      <c r="H9" s="22" t="s">
        <v>54</v>
      </c>
      <c r="I9" s="8" t="s">
        <v>226</v>
      </c>
      <c r="J9" s="8" t="s">
        <v>227</v>
      </c>
    </row>
    <row r="11" customFormat="false" ht="15" hidden="false" customHeight="false" outlineLevel="0" collapsed="false">
      <c r="A11" s="27" t="s">
        <v>228</v>
      </c>
    </row>
    <row r="12" customFormat="false" ht="15" hidden="false" customHeight="false" outlineLevel="0" collapsed="false">
      <c r="A12" s="26" t="s">
        <v>229</v>
      </c>
    </row>
  </sheetData>
  <autoFilter ref="A2:J9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45"/>
  </cols>
  <sheetData>
    <row r="1" customFormat="false" ht="31.5" hidden="false" customHeight="true" outlineLevel="0" collapsed="false">
      <c r="A1" s="23" t="s">
        <v>230</v>
      </c>
      <c r="B1" s="23"/>
      <c r="C1" s="23"/>
      <c r="D1" s="23"/>
      <c r="E1" s="23"/>
      <c r="F1" s="23"/>
      <c r="G1" s="23"/>
    </row>
    <row r="2" customFormat="false" ht="24.75" hidden="false" customHeight="true" outlineLevel="0" collapsed="false">
      <c r="A2" s="3" t="s">
        <v>27</v>
      </c>
      <c r="B2" s="3" t="s">
        <v>28</v>
      </c>
      <c r="C2" s="3" t="s">
        <v>231</v>
      </c>
      <c r="D2" s="3" t="s">
        <v>232</v>
      </c>
      <c r="E2" s="3" t="s">
        <v>233</v>
      </c>
      <c r="F2" s="3" t="s">
        <v>234</v>
      </c>
      <c r="G2" s="3" t="s">
        <v>182</v>
      </c>
    </row>
    <row r="3" customFormat="false" ht="30" hidden="false" customHeight="true" outlineLevel="0" collapsed="false">
      <c r="A3" s="17" t="s">
        <v>9</v>
      </c>
      <c r="B3" s="17" t="s">
        <v>235</v>
      </c>
      <c r="C3" s="17" t="s">
        <v>236</v>
      </c>
      <c r="D3" s="28" t="s">
        <v>237</v>
      </c>
      <c r="E3" s="17" t="s">
        <v>238</v>
      </c>
      <c r="F3" s="17" t="s">
        <v>239</v>
      </c>
      <c r="G3" s="17" t="s">
        <v>240</v>
      </c>
    </row>
    <row r="4" customFormat="false" ht="30" hidden="false" customHeight="true" outlineLevel="0" collapsed="false">
      <c r="A4" s="4" t="s">
        <v>58</v>
      </c>
      <c r="B4" s="4" t="s">
        <v>59</v>
      </c>
      <c r="C4" s="4" t="s">
        <v>241</v>
      </c>
      <c r="D4" s="28" t="s">
        <v>242</v>
      </c>
      <c r="E4" s="4" t="s">
        <v>37</v>
      </c>
      <c r="F4" s="4" t="s">
        <v>243</v>
      </c>
      <c r="G4" s="4" t="s">
        <v>244</v>
      </c>
    </row>
    <row r="5" customFormat="false" ht="30" hidden="false" customHeight="true" outlineLevel="0" collapsed="false">
      <c r="A5" s="17" t="s">
        <v>76</v>
      </c>
      <c r="B5" s="17" t="s">
        <v>77</v>
      </c>
      <c r="C5" s="17" t="s">
        <v>245</v>
      </c>
      <c r="D5" s="19" t="s">
        <v>246</v>
      </c>
      <c r="E5" s="17" t="s">
        <v>247</v>
      </c>
      <c r="F5" s="17" t="s">
        <v>243</v>
      </c>
      <c r="G5" s="17" t="s">
        <v>248</v>
      </c>
    </row>
    <row r="6" customFormat="false" ht="30" hidden="false" customHeight="true" outlineLevel="0" collapsed="false">
      <c r="A6" s="8" t="s">
        <v>51</v>
      </c>
      <c r="B6" s="8" t="s">
        <v>52</v>
      </c>
      <c r="C6" s="8" t="s">
        <v>249</v>
      </c>
      <c r="D6" s="28" t="s">
        <v>250</v>
      </c>
      <c r="E6" s="8" t="s">
        <v>251</v>
      </c>
      <c r="F6" s="8" t="s">
        <v>252</v>
      </c>
      <c r="G6" s="8" t="s">
        <v>253</v>
      </c>
    </row>
    <row r="7" customFormat="false" ht="30" hidden="false" customHeight="true" outlineLevel="0" collapsed="false">
      <c r="A7" s="4" t="s">
        <v>12</v>
      </c>
      <c r="B7" s="4" t="s">
        <v>46</v>
      </c>
      <c r="C7" s="4" t="s">
        <v>254</v>
      </c>
      <c r="D7" s="28" t="s">
        <v>242</v>
      </c>
      <c r="E7" s="4" t="s">
        <v>54</v>
      </c>
      <c r="F7" s="4" t="s">
        <v>255</v>
      </c>
      <c r="G7" s="4" t="s">
        <v>256</v>
      </c>
    </row>
    <row r="8" customFormat="false" ht="30" hidden="false" customHeight="true" outlineLevel="0" collapsed="false">
      <c r="A8" s="8" t="s">
        <v>257</v>
      </c>
      <c r="B8" s="8" t="s">
        <v>258</v>
      </c>
      <c r="C8" s="8" t="s">
        <v>259</v>
      </c>
      <c r="D8" s="28" t="s">
        <v>242</v>
      </c>
      <c r="E8" s="8" t="s">
        <v>54</v>
      </c>
      <c r="F8" s="8" t="s">
        <v>255</v>
      </c>
      <c r="G8" s="8" t="s">
        <v>260</v>
      </c>
    </row>
    <row r="9" customFormat="false" ht="30" hidden="false" customHeight="true" outlineLevel="0" collapsed="false">
      <c r="A9" s="4" t="s">
        <v>15</v>
      </c>
      <c r="B9" s="4" t="s">
        <v>41</v>
      </c>
      <c r="C9" s="4" t="s">
        <v>261</v>
      </c>
      <c r="D9" s="28" t="s">
        <v>262</v>
      </c>
      <c r="E9" s="4" t="s">
        <v>263</v>
      </c>
      <c r="F9" s="4" t="s">
        <v>255</v>
      </c>
      <c r="G9" s="4" t="s">
        <v>264</v>
      </c>
    </row>
  </sheetData>
  <autoFilter ref="A2:G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  <col collapsed="false" customWidth="true" hidden="false" outlineLevel="0" max="5" min="5" style="0" width="12"/>
    <col collapsed="false" customWidth="true" hidden="false" outlineLevel="0" max="6" min="6" style="0" width="36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23" t="s">
        <v>265</v>
      </c>
      <c r="B1" s="23"/>
      <c r="C1" s="23"/>
      <c r="D1" s="23"/>
      <c r="E1" s="23"/>
      <c r="F1" s="23"/>
      <c r="G1" s="23"/>
    </row>
    <row r="2" customFormat="false" ht="24.75" hidden="false" customHeight="true" outlineLevel="0" collapsed="false">
      <c r="A2" s="3" t="s">
        <v>266</v>
      </c>
      <c r="B2" s="3" t="s">
        <v>267</v>
      </c>
      <c r="C2" s="3" t="s">
        <v>268</v>
      </c>
      <c r="D2" s="3" t="s">
        <v>269</v>
      </c>
      <c r="E2" s="3" t="s">
        <v>270</v>
      </c>
      <c r="F2" s="3" t="s">
        <v>271</v>
      </c>
      <c r="G2" s="3" t="s">
        <v>272</v>
      </c>
    </row>
    <row r="3" customFormat="false" ht="34.5" hidden="false" customHeight="true" outlineLevel="0" collapsed="false">
      <c r="A3" s="17" t="s">
        <v>273</v>
      </c>
      <c r="B3" s="17" t="s">
        <v>274</v>
      </c>
      <c r="C3" s="17" t="s">
        <v>275</v>
      </c>
      <c r="D3" s="17" t="s">
        <v>276</v>
      </c>
      <c r="E3" s="28" t="s">
        <v>277</v>
      </c>
      <c r="F3" s="17" t="s">
        <v>278</v>
      </c>
      <c r="G3" s="17" t="s">
        <v>279</v>
      </c>
    </row>
    <row r="4" customFormat="false" ht="34.5" hidden="false" customHeight="true" outlineLevel="0" collapsed="false">
      <c r="A4" s="4" t="s">
        <v>280</v>
      </c>
      <c r="B4" s="4" t="s">
        <v>281</v>
      </c>
      <c r="C4" s="4" t="s">
        <v>282</v>
      </c>
      <c r="D4" s="4" t="s">
        <v>283</v>
      </c>
      <c r="E4" s="28" t="s">
        <v>277</v>
      </c>
      <c r="F4" s="4" t="s">
        <v>284</v>
      </c>
      <c r="G4" s="4" t="s">
        <v>285</v>
      </c>
    </row>
    <row r="5" customFormat="false" ht="34.5" hidden="false" customHeight="true" outlineLevel="0" collapsed="false">
      <c r="A5" s="8" t="s">
        <v>286</v>
      </c>
      <c r="B5" s="8" t="s">
        <v>287</v>
      </c>
      <c r="C5" s="8" t="s">
        <v>288</v>
      </c>
      <c r="D5" s="8" t="s">
        <v>289</v>
      </c>
      <c r="E5" s="28" t="s">
        <v>277</v>
      </c>
      <c r="F5" s="8" t="s">
        <v>290</v>
      </c>
      <c r="G5" s="8" t="s">
        <v>291</v>
      </c>
    </row>
    <row r="6" customFormat="false" ht="34.5" hidden="false" customHeight="true" outlineLevel="0" collapsed="false">
      <c r="A6" s="4" t="s">
        <v>292</v>
      </c>
      <c r="B6" s="4" t="s">
        <v>287</v>
      </c>
      <c r="C6" s="4" t="s">
        <v>293</v>
      </c>
      <c r="D6" s="4" t="s">
        <v>294</v>
      </c>
      <c r="E6" s="28" t="s">
        <v>277</v>
      </c>
      <c r="F6" s="4" t="s">
        <v>295</v>
      </c>
      <c r="G6" s="4" t="s">
        <v>296</v>
      </c>
    </row>
    <row r="7" customFormat="false" ht="34.5" hidden="false" customHeight="true" outlineLevel="0" collapsed="false">
      <c r="A7" s="20" t="s">
        <v>297</v>
      </c>
      <c r="B7" s="20" t="s">
        <v>298</v>
      </c>
      <c r="C7" s="20" t="s">
        <v>299</v>
      </c>
      <c r="D7" s="20" t="s">
        <v>300</v>
      </c>
      <c r="E7" s="22" t="s">
        <v>301</v>
      </c>
      <c r="F7" s="20" t="s">
        <v>302</v>
      </c>
      <c r="G7" s="20" t="s">
        <v>303</v>
      </c>
    </row>
    <row r="8" customFormat="false" ht="34.5" hidden="false" customHeight="true" outlineLevel="0" collapsed="false">
      <c r="A8" s="24" t="s">
        <v>304</v>
      </c>
      <c r="B8" s="24" t="s">
        <v>305</v>
      </c>
      <c r="C8" s="24" t="s">
        <v>306</v>
      </c>
      <c r="D8" s="24" t="s">
        <v>307</v>
      </c>
      <c r="E8" s="29" t="s">
        <v>308</v>
      </c>
      <c r="F8" s="24" t="s">
        <v>309</v>
      </c>
      <c r="G8" s="24" t="s">
        <v>310</v>
      </c>
    </row>
    <row r="9" customFormat="false" ht="34.5" hidden="false" customHeight="true" outlineLevel="0" collapsed="false">
      <c r="A9" s="24" t="s">
        <v>311</v>
      </c>
      <c r="B9" s="24" t="s">
        <v>312</v>
      </c>
      <c r="C9" s="24" t="s">
        <v>313</v>
      </c>
      <c r="D9" s="24" t="s">
        <v>314</v>
      </c>
      <c r="E9" s="29" t="s">
        <v>308</v>
      </c>
      <c r="F9" s="24" t="s">
        <v>315</v>
      </c>
      <c r="G9" s="24" t="s">
        <v>316</v>
      </c>
    </row>
    <row r="11" customFormat="false" ht="15" hidden="false" customHeight="false" outlineLevel="0" collapsed="false">
      <c r="A11" s="26" t="s">
        <v>317</v>
      </c>
    </row>
  </sheetData>
  <autoFilter ref="A2:G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2026-04-01T19:36:19Z</dcterms:created>
  <dc:creator>openpyxl</dc:creator>
  <dc:description/>
  <dc:language>en-US</dc:language>
  <cp:lastModifiedBy/>
  <dcterms:modified xsi:type="dcterms:W3CDTF">2026-04-01T19:36:19Z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