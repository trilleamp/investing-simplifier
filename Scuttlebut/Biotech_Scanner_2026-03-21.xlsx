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ytte\CLAUDE CODE WORK\"/>
    </mc:Choice>
  </mc:AlternateContent>
  <xr:revisionPtr revIDLastSave="0" documentId="8_{EB8B535A-31B9-4BC8-A935-07B1AC8AD4BD}" xr6:coauthVersionLast="47" xr6:coauthVersionMax="47" xr10:uidLastSave="{00000000-0000-0000-0000-000000000000}"/>
  <bookViews>
    <workbookView xWindow="0" yWindow="1332" windowWidth="23040" windowHeight="11316" tabRatio="500" activeTab="4" xr2:uid="{00000000-000D-0000-FFFF-FFFF00000000}"/>
  </bookViews>
  <sheets>
    <sheet name="Dashboard" sheetId="1" r:id="rId1"/>
    <sheet name="Unusual Volume" sheetId="2" r:id="rId2"/>
    <sheet name="SEC Filings" sheetId="3" r:id="rId3"/>
    <sheet name="FDA Catalysts" sheetId="4" r:id="rId4"/>
    <sheet name="Social Buzz" sheetId="5" r:id="rId5"/>
    <sheet name="Conferences" sheetId="6" r:id="rId6"/>
  </sheets>
  <definedNames>
    <definedName name="_xlnm._FilterDatabase" localSheetId="5" hidden="1">Conferences!$A$3:$G$3</definedName>
    <definedName name="_xlnm._FilterDatabase" localSheetId="3" hidden="1">'FDA Catalysts'!$A$3:$J$3</definedName>
    <definedName name="_xlnm._FilterDatabase" localSheetId="2" hidden="1">'SEC Filings'!$A$3:$H$3</definedName>
    <definedName name="_xlnm._FilterDatabase" localSheetId="4" hidden="1">'Social Buzz'!$A$3:$G$3</definedName>
    <definedName name="_xlnm._FilterDatabase" localSheetId="1" hidden="1">'Unusual Volume'!$A$3:$I$3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1" l="1"/>
  <c r="D11" i="1"/>
  <c r="C11" i="1"/>
</calcChain>
</file>

<file path=xl/sharedStrings.xml><?xml version="1.0" encoding="utf-8"?>
<sst xmlns="http://schemas.openxmlformats.org/spreadsheetml/2006/main" count="381" uniqueCount="263">
  <si>
    <t>🔬 BIOTECH SCUTTLEBUTT SCANNER — Daily Intelligence Dashboard</t>
  </si>
  <si>
    <t>Report Date: March 21, 2026  |  Focus: Small-Cap &amp; Micro-Cap Biotech  |  NOT INVESTMENT ADVICE</t>
  </si>
  <si>
    <t>SIGNAL SUMMARY</t>
  </si>
  <si>
    <t>Category</t>
  </si>
  <si>
    <t>Signals Found</t>
  </si>
  <si>
    <t>HIGH</t>
  </si>
  <si>
    <t>MEDIUM/Other</t>
  </si>
  <si>
    <t>Unusual Volume / Price Movers</t>
  </si>
  <si>
    <t>SEC Filings (Form 4 / 8-K)</t>
  </si>
  <si>
    <t>FDA &amp; Clinical Catalysts</t>
  </si>
  <si>
    <t>Social Buzz &amp; Sentiment</t>
  </si>
  <si>
    <t>Upcoming Conferences</t>
  </si>
  <si>
    <t>TOTAL</t>
  </si>
  <si>
    <t>⭐ MULTI-SIGNAL SPOTLIGHT — Stocks Appearing in 2+ Categories</t>
  </si>
  <si>
    <t>Ticker</t>
  </si>
  <si>
    <t>Company</t>
  </si>
  <si>
    <t># Signals</t>
  </si>
  <si>
    <t>Categories</t>
  </si>
  <si>
    <t>Top Catalyst</t>
  </si>
  <si>
    <t>Signal Level</t>
  </si>
  <si>
    <t>Action</t>
  </si>
  <si>
    <t>RCKT</t>
  </si>
  <si>
    <t>Rocket Pharmaceuticals</t>
  </si>
  <si>
    <t>Volume + FDA Catalyst + Social Buzz</t>
  </si>
  <si>
    <t>PDUFA Mar 28 - KRESLADI gene therapy LAD-I</t>
  </si>
  <si>
    <t>Watch for FDA decision Mar 28</t>
  </si>
  <si>
    <t>MNMD</t>
  </si>
  <si>
    <t>Mind Medicine</t>
  </si>
  <si>
    <t>Volume + Social + Analyst Coverage</t>
  </si>
  <si>
    <t>MM120 GAD Phase 3 Voyage data H1 2026</t>
  </si>
  <si>
    <t>Monitor for Phase 3 readout announcement</t>
  </si>
  <si>
    <t>COGT</t>
  </si>
  <si>
    <t>Cogent Biosciences</t>
  </si>
  <si>
    <t>Volume + Analyst Coverage</t>
  </si>
  <si>
    <t>+372% YoY; institutional selling flagged</t>
  </si>
  <si>
    <t>Caution: institutional selling; watch momentum</t>
  </si>
  <si>
    <t>LQDA</t>
  </si>
  <si>
    <t>Liquidia Corporation</t>
  </si>
  <si>
    <t>+40% in 6 months; Zacks #1 Strong Buy</t>
  </si>
  <si>
    <t>MEDIUM</t>
  </si>
  <si>
    <t>Watch for volume confirmation</t>
  </si>
  <si>
    <t>OCGN</t>
  </si>
  <si>
    <t>Ocugen</t>
  </si>
  <si>
    <t>Social + FDA Pipeline</t>
  </si>
  <si>
    <t>Phase 3 liMeliGhT RP data Q4 2026</t>
  </si>
  <si>
    <t>Monitor BLA rolling sub progress</t>
  </si>
  <si>
    <t>DISCLAIMER: This report is for informational purposes only. Not investment advice. Biotech investing involves substantial risk including total loss of capital.</t>
  </si>
  <si>
    <t>UNUSUAL VOLUME &amp; PRICE MOVERS — March 21, 2026</t>
  </si>
  <si>
    <t>Small-cap/micro-cap biotechs with elevated volume or significant price moves</t>
  </si>
  <si>
    <t>~Price</t>
  </si>
  <si>
    <t>% Change (Est.)</t>
  </si>
  <si>
    <t>Vol vs Avg</t>
  </si>
  <si>
    <t>Market Cap</t>
  </si>
  <si>
    <t>Key Catalyst</t>
  </si>
  <si>
    <t>Source</t>
  </si>
  <si>
    <t>~$10-12</t>
  </si>
  <si>
    <t>Elevated premarket</t>
  </si>
  <si>
    <t>&gt;3x avg</t>
  </si>
  <si>
    <t>Small-cap</t>
  </si>
  <si>
    <t>PDUFA Mar 28 KRESLADI gene therapy (LAD-I); 100% survival Ph1/2</t>
  </si>
  <si>
    <t>StockTitan / Yahoo Finance</t>
  </si>
  <si>
    <t>$34.40</t>
  </si>
  <si>
    <t>+372% YoY</t>
  </si>
  <si>
    <t>&gt;2x avg</t>
  </si>
  <si>
    <t>Exceptional YoY gains; institutional selling noted (Boone Capital exited Q4)</t>
  </si>
  <si>
    <t>Motley Fool (Mar 20, 2026)</t>
  </si>
  <si>
    <t>Mind Medicine (MindMed)</t>
  </si>
  <si>
    <t>Elevated</t>
  </si>
  <si>
    <t>Micro-cap</t>
  </si>
  <si>
    <t>MM120 GAD Phase 3 Voyage data expected H1 2026; psychedelic med sector interest</t>
  </si>
  <si>
    <t>Nasdaq / Yahoo Finance</t>
  </si>
  <si>
    <t>N/A</t>
  </si>
  <si>
    <t>+40.3% (6 months)</t>
  </si>
  <si>
    <t>&gt;1.5x avg</t>
  </si>
  <si>
    <t>Zacks Rank #1 Strong Buy; pulmonary hypertension drug commercialization</t>
  </si>
  <si>
    <t>Yahoo Finance / Zacks</t>
  </si>
  <si>
    <t>ANRO</t>
  </si>
  <si>
    <t>Alto Neuroscience</t>
  </si>
  <si>
    <t>~$18</t>
  </si>
  <si>
    <t>Moderate</t>
  </si>
  <si>
    <t>FDA Fast Track CIAS (schizophrenia); analyst target $30.71 (+68%); Q1 2026 data</t>
  </si>
  <si>
    <t>TipRanks / Yahoo Finance</t>
  </si>
  <si>
    <t>Phase 3 liMeliGhT retinitis pigmentosa data Q4 2026; BLA rolling sub H1 2026</t>
  </si>
  <si>
    <t>Nasdaq (5 Hi-Risk stocks article)</t>
  </si>
  <si>
    <t>XENE</t>
  </si>
  <si>
    <t>Xenon Pharmaceuticals</t>
  </si>
  <si>
    <t>Azetukalner Ph3 FOS (focal onset seizures) readout early 2026; William Blair top pick</t>
  </si>
  <si>
    <t>FierceBiotech / Zacks</t>
  </si>
  <si>
    <t>TERN</t>
  </si>
  <si>
    <t>Terns Pharmaceuticals</t>
  </si>
  <si>
    <t>TERN-701 CML Phase 1; William Blair top pick; M&amp;A takeout candidate</t>
  </si>
  <si>
    <t>SEC FILING ALERTS — Form 4 Insider Activity &amp; 8-K Catalysts</t>
  </si>
  <si>
    <t>Insider buys/sells, clinical/regulatory 8-Ks, and 13D filings in biotech/pharma</t>
  </si>
  <si>
    <t>Filing Type</t>
  </si>
  <si>
    <t>Date</t>
  </si>
  <si>
    <t>Insider / Party</t>
  </si>
  <si>
    <t>Detail</t>
  </si>
  <si>
    <t>Investment Signal</t>
  </si>
  <si>
    <t>BBIO</t>
  </si>
  <si>
    <t>BridgeBio Pharma</t>
  </si>
  <si>
    <t>Form 4 (SELL)</t>
  </si>
  <si>
    <t>Mar 12-13, 2026</t>
  </si>
  <si>
    <t>CEO Neil Kumar (indirect trusts)</t>
  </si>
  <si>
    <t>Sold 80,000 shares ~$68-70/sh via pre-arranged 10b5-1 plan; indirect trust only — NOT a direct bearish signal</t>
  </si>
  <si>
    <t>NEUTRAL (10b5-1 plan)</t>
  </si>
  <si>
    <t>StockTitan / SEC.gov</t>
  </si>
  <si>
    <t>Form 4 (RSU)</t>
  </si>
  <si>
    <t>Mar 2026</t>
  </si>
  <si>
    <t>CFO Thomas Trimarchi</t>
  </si>
  <si>
    <t>Granted 59,041 RSUs as equity compensation — standard compensation, not open-market purchase</t>
  </si>
  <si>
    <t>NEUTRAL (compensation)</t>
  </si>
  <si>
    <t>ALDX</t>
  </si>
  <si>
    <t>Aldeyra Therapeutics</t>
  </si>
  <si>
    <t>8-K (CRL)</t>
  </si>
  <si>
    <t>Mar 17, 2026</t>
  </si>
  <si>
    <t>Company Disclosure</t>
  </si>
  <si>
    <t>SECOND FDA Complete Response Letter for reproxalap NDA; FDA cited lack of substantial evidence and inconsistency of study results across trials</t>
  </si>
  <si>
    <t>BEARISH — CRL received</t>
  </si>
  <si>
    <t>BusinessWire / SEC.gov</t>
  </si>
  <si>
    <t>8-K (BLA)</t>
  </si>
  <si>
    <t>Oct 2025</t>
  </si>
  <si>
    <t>FDA accepted BLA resubmission for KRESLADI; PDUFA Mar 28, 2026; eligible for Rare Pediatric Disease PRV voucher</t>
  </si>
  <si>
    <t>BULLISH — near-term catalyst</t>
  </si>
  <si>
    <t>StockTitan / BusinessWire</t>
  </si>
  <si>
    <t>DVAX</t>
  </si>
  <si>
    <t>Dynavax Technologies</t>
  </si>
  <si>
    <t>Merger 8-K</t>
  </si>
  <si>
    <t>Q1 2026 close</t>
  </si>
  <si>
    <t>Sanofi (acquirer)</t>
  </si>
  <si>
    <t>Sanofi acquiring Dynavax for ~$2.2B all-cash; deal expected to close Q1 2026 — remove from active watch</t>
  </si>
  <si>
    <t>RESOLVED (M&amp;A close)</t>
  </si>
  <si>
    <t>BioSpace / FiercePharma</t>
  </si>
  <si>
    <t>Ventyx Biosciences</t>
  </si>
  <si>
    <t>Acquisition</t>
  </si>
  <si>
    <t>Early 2026</t>
  </si>
  <si>
    <t>Eli Lilly (acquirer)</t>
  </si>
  <si>
    <t>Eli Lilly acquiring Ventyx for $1.2B; one of two early-2026 Lilly biotech deals alongside Orna Therapeutics ($2.4B)</t>
  </si>
  <si>
    <t>FDA &amp; CLINICAL CATALYSTS — PDUFA Dates, AdComs, Phase 3 Readouts</t>
  </si>
  <si>
    <t>Sorted by catalyst date — binary events that can drive 50-200%+ moves in small-caps</t>
  </si>
  <si>
    <t>Drug / Therapy</t>
  </si>
  <si>
    <t>Indication</t>
  </si>
  <si>
    <t>Catalyst Date</t>
  </si>
  <si>
    <t>Catalyst Type</t>
  </si>
  <si>
    <t>Notes</t>
  </si>
  <si>
    <t>--</t>
  </si>
  <si>
    <t>Sanofi/Genzyme</t>
  </si>
  <si>
    <t>Sotyktu</t>
  </si>
  <si>
    <t>Psoriatic arthritis</t>
  </si>
  <si>
    <t>Mar 6, 2026</t>
  </si>
  <si>
    <t>APPROVED</t>
  </si>
  <si>
    <t>Large-cap</t>
  </si>
  <si>
    <t>PAST</t>
  </si>
  <si>
    <t>Already approved; monitor psoriasis space competitors</t>
  </si>
  <si>
    <t>RTTNews / FDA</t>
  </si>
  <si>
    <t>Reproxalap</t>
  </si>
  <si>
    <t>Dry Eye Disease</t>
  </si>
  <si>
    <t>CRL (PAST)</t>
  </si>
  <si>
    <t>CRL received; FDA didn't approve; company exploring path forward; watch for bounce</t>
  </si>
  <si>
    <t>BusinessWire / FDA</t>
  </si>
  <si>
    <t>GlaxoSmithKline</t>
  </si>
  <si>
    <t>Lynavoy (linerixibat)</t>
  </si>
  <si>
    <t>Cholestatic pruritus (PBC)</t>
  </si>
  <si>
    <t>Mar 19, 2026</t>
  </si>
  <si>
    <t>Approved Mar 19; monitor small-cap PBC-focused biotechs for sympathy moves</t>
  </si>
  <si>
    <t>Rhythm Pharmaceuticals</t>
  </si>
  <si>
    <t>IMCIVREE</t>
  </si>
  <si>
    <t>Acquired hypothalamic obesity</t>
  </si>
  <si>
    <t>Mar 20, 2026</t>
  </si>
  <si>
    <t>PDUFA EXT</t>
  </si>
  <si>
    <t>WATCH</t>
  </si>
  <si>
    <t>PDUFA extension decision today; follow up on outcome</t>
  </si>
  <si>
    <t>RTTNews / BiopharmaWatch</t>
  </si>
  <si>
    <t>KRESLADI (marne-cel)</t>
  </si>
  <si>
    <t>Severe LAD-I (pediatric rare)</t>
  </si>
  <si>
    <t>Mar 28, 2026</t>
  </si>
  <si>
    <t>PDUFA</t>
  </si>
  <si>
    <t>100% survival Ph1/2; no treatment-related SAEs; PRV eligible ($100M+ voucher value)</t>
  </si>
  <si>
    <t>LNTH</t>
  </si>
  <si>
    <t>Lantheus Holdings</t>
  </si>
  <si>
    <t>LNTH-2501 (Ga68)</t>
  </si>
  <si>
    <t>Neuroendocrine tumors (PET)</t>
  </si>
  <si>
    <t>Mar 29, 2026</t>
  </si>
  <si>
    <t>PET diagnostic imaging kit; relatively lower binary risk than therapeutic</t>
  </si>
  <si>
    <t>BiopharmaWatch / RTTNews</t>
  </si>
  <si>
    <t>MM120 ODT</t>
  </si>
  <si>
    <t>Generalized Anxiety Disorder</t>
  </si>
  <si>
    <t>H1 2026</t>
  </si>
  <si>
    <t>Ph3 Readout</t>
  </si>
  <si>
    <t>Voyage study; Panorama study (MDD) H2 2026; psychedelic medicine platform</t>
  </si>
  <si>
    <t>OCU400</t>
  </si>
  <si>
    <t>Retinitis Pigmentosa (RP)</t>
  </si>
  <si>
    <t>Q4 2026</t>
  </si>
  <si>
    <t>Ph3 liMeliGhT nearing enrollment completion; rolling BLA sub H1 2026 to begin</t>
  </si>
  <si>
    <t>SOCIAL SENTIMENT &amp; CHATTER — Reddit, StockTwits, Twitter/X</t>
  </si>
  <si>
    <t>Supplementary signal only — confirm with fundamentals before acting</t>
  </si>
  <si>
    <t>Platform(s)</t>
  </si>
  <si>
    <t>Sentiment</t>
  </si>
  <si>
    <t>Est. Volume</t>
  </si>
  <si>
    <t>Theme/Narrative</t>
  </si>
  <si>
    <t>StockTwits / Reddit</t>
  </si>
  <si>
    <t>BULLISH</t>
  </si>
  <si>
    <t>Pre-PDUFA accumulation chatter; gene therapy for rare pediatric disease generating strong investor interest ahead of Mar 28 binary event</t>
  </si>
  <si>
    <t>Reddit biotech threads / StockTwits</t>
  </si>
  <si>
    <t>Reddit WSB / Twitter/X</t>
  </si>
  <si>
    <t>High</t>
  </si>
  <si>
    <t>Psychedelic medicine community very active; Phase 3 GAD data anticipation driving buy-the-rumor speculation; strong retail following</t>
  </si>
  <si>
    <t>Reddit WSB / StockTwits</t>
  </si>
  <si>
    <t>StockTwits</t>
  </si>
  <si>
    <t>MIXED</t>
  </si>
  <si>
    <t>Gene therapy narrative strong with retail; listed among 5 high-risk/high-reward stocks for 2026; BLA timeline key swing factor</t>
  </si>
  <si>
    <t>Nasdaq article / StockTwits</t>
  </si>
  <si>
    <t>Twitter/X / Reddit</t>
  </si>
  <si>
    <t>BEARISH</t>
  </si>
  <si>
    <t>CRL on Mar 17 caused significant negative sentiment shift; watch for potential dead-cat bounce if company outlines credible path forward</t>
  </si>
  <si>
    <t>FierceBiotech / Social monitoring</t>
  </si>
  <si>
    <t>Sector</t>
  </si>
  <si>
    <t>Biotech Sector-Wide</t>
  </si>
  <si>
    <t>Community reporting rotation from large-cap tech into speculative small-cap biotech; WSB built crowd-sourced portfolio +76% in 2025</t>
  </si>
  <si>
    <t>Reddit WSB / AltIndex / Valuewalk</t>
  </si>
  <si>
    <t>UPCOMING BIOTECH CONFERENCES &amp; INVESTOR EVENTS</t>
  </si>
  <si>
    <t>Company presentations at these events often precede press releases and stock moves</t>
  </si>
  <si>
    <t>Conference Name</t>
  </si>
  <si>
    <t>Dates</t>
  </si>
  <si>
    <t>Location</t>
  </si>
  <si>
    <t>Format</t>
  </si>
  <si>
    <t>Focus Area</t>
  </si>
  <si>
    <t>Relevance to Small-Cap</t>
  </si>
  <si>
    <t>BIO Investment &amp; Growth Summit (BIG Summit)</t>
  </si>
  <si>
    <t>Mar 2-3, 2026</t>
  </si>
  <si>
    <t>Miami, FL</t>
  </si>
  <si>
    <t>In-person</t>
  </si>
  <si>
    <t>CEO-investor partnering, financing conversations</t>
  </si>
  <si>
    <t>COMPLETED — monitor for post-conference SEC filings and 8-Ks</t>
  </si>
  <si>
    <t>BIO.org</t>
  </si>
  <si>
    <t>BIA Pulse</t>
  </si>
  <si>
    <t>London, UK</t>
  </si>
  <si>
    <t>UK biotech scaling, investment, policy</t>
  </si>
  <si>
    <t>COMPLETED — European companies; watch for partnering announcements</t>
  </si>
  <si>
    <t>BIO.org / Labiotech</t>
  </si>
  <si>
    <t>World Vaccine Congress Washington</t>
  </si>
  <si>
    <t>Mar 30, 2026</t>
  </si>
  <si>
    <t>Washington, DC</t>
  </si>
  <si>
    <t>Vaccine R&amp;D, manufacturing, regulatory, commercialization</t>
  </si>
  <si>
    <t>NEXT WEEK — watch vaccine-focused small-caps for presentation catalysts</t>
  </si>
  <si>
    <t>Labiotech.eu / BIO.org</t>
  </si>
  <si>
    <t>MedInvest Biotech &amp; Pharma Investor Conference</t>
  </si>
  <si>
    <t>Mar 31 - Apr 1, 2026</t>
  </si>
  <si>
    <t>New York City + Virtual</t>
  </si>
  <si>
    <t>Hybrid</t>
  </si>
  <si>
    <t>Company presentations, 1x1 meetings, panel discussions</t>
  </si>
  <si>
    <t>KEY EVENT — primary small/mid-cap catalyst next week; watch 8-K filings</t>
  </si>
  <si>
    <t>MedInvestConferences.com</t>
  </si>
  <si>
    <t>German Biotech Days (DBT 2026)</t>
  </si>
  <si>
    <t>Apr 21-22, 2026</t>
  </si>
  <si>
    <t>Leipzig, Germany</t>
  </si>
  <si>
    <t>German/European biotech industry national forum</t>
  </si>
  <si>
    <t>European small-caps; deal flow from German ecosystem</t>
  </si>
  <si>
    <t>Labiotech.eu</t>
  </si>
  <si>
    <t>ChinaBio Partnering Forum</t>
  </si>
  <si>
    <t>Apr 28-29 + May 6-7, 2026</t>
  </si>
  <si>
    <t>China + Global Virtual</t>
  </si>
  <si>
    <t>China-based biotech/pharma partnerships, licensing, deal-making</t>
  </si>
  <si>
    <t>Cross-border licensing deals can drive US-listed China biotech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</si>
</sst>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444444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C00000"/>
      <name val="Arial"/>
      <charset val="1"/>
    </font>
    <font>
      <b/>
      <sz val="9"/>
      <color rgb="FFFF8C00"/>
      <name val="Arial"/>
      <charset val="1"/>
    </font>
    <font>
      <i/>
      <sz val="9"/>
      <color rgb="FF888888"/>
      <name val="Arial"/>
      <charset val="1"/>
    </font>
    <font>
      <b/>
      <sz val="16"/>
      <color rgb="FFFFFFFF"/>
      <name val="Arial"/>
      <charset val="1"/>
    </font>
    <font>
      <b/>
      <sz val="9"/>
      <color rgb="FF444444"/>
      <name val="Arial"/>
      <charset val="1"/>
    </font>
    <font>
      <b/>
      <sz val="9"/>
      <color rgb="FF375623"/>
      <name val="Arial"/>
      <charset val="1"/>
    </font>
    <font>
      <sz val="9"/>
      <color rgb="FF888888"/>
      <name val="Arial"/>
      <charset val="1"/>
    </font>
    <font>
      <sz val="9"/>
      <color rgb="FF7F6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5E8F0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E0E0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5E8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0" fillId="2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88888"/>
      <rgbColor rgb="FF9999FF"/>
      <rgbColor rgb="FF993366"/>
      <rgbColor rgb="FFFFF2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8C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showGridLines="0" topLeftCell="A11" zoomScaleNormal="100" workbookViewId="0"/>
  </sheetViews>
  <sheetFormatPr defaultColWidth="8.6640625" defaultRowHeight="15" customHeight="1" x14ac:dyDescent="0.3"/>
  <cols>
    <col min="1" max="1" width="2" customWidth="1"/>
    <col min="2" max="5" width="20" customWidth="1"/>
    <col min="6" max="6" width="32.77734375" customWidth="1"/>
  </cols>
  <sheetData>
    <row r="1" spans="1:9" ht="36" customHeight="1" x14ac:dyDescent="0.3">
      <c r="B1" s="6" t="s">
        <v>0</v>
      </c>
      <c r="C1" s="6"/>
      <c r="D1" s="6"/>
      <c r="E1" s="6"/>
      <c r="F1" s="6"/>
      <c r="G1" s="6"/>
      <c r="H1" s="6"/>
      <c r="I1" s="6"/>
    </row>
    <row r="2" spans="1:9" ht="19.5" customHeight="1" x14ac:dyDescent="0.3">
      <c r="B2" s="5" t="s">
        <v>1</v>
      </c>
      <c r="C2" s="5"/>
      <c r="D2" s="5"/>
      <c r="E2" s="5"/>
      <c r="F2" s="5"/>
      <c r="G2" s="5"/>
      <c r="H2" s="5"/>
      <c r="I2" s="5"/>
    </row>
    <row r="4" spans="1:9" ht="21.75" customHeight="1" x14ac:dyDescent="0.3">
      <c r="B4" s="4" t="s">
        <v>2</v>
      </c>
      <c r="C4" s="4"/>
      <c r="D4" s="4"/>
      <c r="E4" s="4"/>
    </row>
    <row r="5" spans="1:9" ht="105.6" x14ac:dyDescent="0.3">
      <c r="A5" s="7" t="s">
        <v>3</v>
      </c>
      <c r="B5" s="8" t="s">
        <v>3</v>
      </c>
      <c r="C5" s="8" t="s">
        <v>4</v>
      </c>
      <c r="D5" s="8" t="s">
        <v>5</v>
      </c>
      <c r="E5" s="8" t="s">
        <v>6</v>
      </c>
    </row>
    <row r="6" spans="1:9" ht="14.4" x14ac:dyDescent="0.3">
      <c r="B6" s="9" t="s">
        <v>7</v>
      </c>
      <c r="C6" s="10">
        <v>8</v>
      </c>
      <c r="D6" s="10">
        <v>3</v>
      </c>
      <c r="E6" s="10">
        <v>5</v>
      </c>
    </row>
    <row r="7" spans="1:9" ht="14.4" x14ac:dyDescent="0.3">
      <c r="B7" s="9" t="s">
        <v>8</v>
      </c>
      <c r="C7" s="10">
        <v>6</v>
      </c>
      <c r="D7" s="10">
        <v>1</v>
      </c>
      <c r="E7" s="10">
        <v>5</v>
      </c>
    </row>
    <row r="8" spans="1:9" ht="14.4" x14ac:dyDescent="0.3">
      <c r="B8" s="9" t="s">
        <v>9</v>
      </c>
      <c r="C8" s="10">
        <v>6</v>
      </c>
      <c r="D8" s="10">
        <v>1</v>
      </c>
      <c r="E8" s="10">
        <v>5</v>
      </c>
    </row>
    <row r="9" spans="1:9" ht="14.4" x14ac:dyDescent="0.3">
      <c r="B9" s="9" t="s">
        <v>10</v>
      </c>
      <c r="C9" s="10">
        <v>5</v>
      </c>
      <c r="D9" s="10">
        <v>2</v>
      </c>
      <c r="E9" s="10">
        <v>3</v>
      </c>
    </row>
    <row r="10" spans="1:9" ht="14.4" x14ac:dyDescent="0.3">
      <c r="B10" s="9" t="s">
        <v>11</v>
      </c>
      <c r="C10" s="10">
        <v>5</v>
      </c>
      <c r="D10" s="10">
        <v>0</v>
      </c>
      <c r="E10" s="10">
        <v>5</v>
      </c>
    </row>
    <row r="11" spans="1:9" ht="14.4" x14ac:dyDescent="0.3">
      <c r="B11" s="11" t="s">
        <v>12</v>
      </c>
      <c r="C11" s="12">
        <f>SUM(C6:C10)</f>
        <v>30</v>
      </c>
      <c r="D11" s="12">
        <f>SUM(D6:D10)</f>
        <v>7</v>
      </c>
      <c r="E11" s="12">
        <f>SUM(E6:E10)</f>
        <v>23</v>
      </c>
    </row>
    <row r="13" spans="1:9" ht="21.75" customHeight="1" x14ac:dyDescent="0.3">
      <c r="B13" s="3" t="s">
        <v>13</v>
      </c>
      <c r="C13" s="3"/>
      <c r="D13" s="3"/>
      <c r="E13" s="3"/>
      <c r="F13" s="3"/>
      <c r="G13" s="3"/>
      <c r="H13" s="3"/>
      <c r="I13" s="3"/>
    </row>
    <row r="14" spans="1:9" ht="26.4" x14ac:dyDescent="0.3">
      <c r="B14" s="7" t="s">
        <v>14</v>
      </c>
      <c r="C14" s="7" t="s">
        <v>15</v>
      </c>
      <c r="D14" s="7" t="s">
        <v>16</v>
      </c>
      <c r="E14" s="7" t="s">
        <v>17</v>
      </c>
      <c r="F14" s="7" t="s">
        <v>18</v>
      </c>
      <c r="G14" s="7" t="s">
        <v>19</v>
      </c>
      <c r="H14" s="7" t="s">
        <v>20</v>
      </c>
    </row>
    <row r="15" spans="1:9" ht="30" customHeight="1" x14ac:dyDescent="0.3">
      <c r="B15" s="13" t="s">
        <v>21</v>
      </c>
      <c r="C15" s="13" t="s">
        <v>22</v>
      </c>
      <c r="D15" s="13">
        <v>3</v>
      </c>
      <c r="E15" s="13" t="s">
        <v>23</v>
      </c>
      <c r="F15" s="13" t="s">
        <v>24</v>
      </c>
      <c r="G15" s="14" t="s">
        <v>5</v>
      </c>
      <c r="H15" s="13" t="s">
        <v>25</v>
      </c>
    </row>
    <row r="16" spans="1:9" ht="30" customHeight="1" x14ac:dyDescent="0.3">
      <c r="B16" s="13" t="s">
        <v>26</v>
      </c>
      <c r="C16" s="13" t="s">
        <v>27</v>
      </c>
      <c r="D16" s="13">
        <v>3</v>
      </c>
      <c r="E16" s="13" t="s">
        <v>28</v>
      </c>
      <c r="F16" s="13" t="s">
        <v>29</v>
      </c>
      <c r="G16" s="14" t="s">
        <v>5</v>
      </c>
      <c r="H16" s="13" t="s">
        <v>30</v>
      </c>
    </row>
    <row r="17" spans="2:9" ht="30" customHeight="1" x14ac:dyDescent="0.3">
      <c r="B17" s="13" t="s">
        <v>31</v>
      </c>
      <c r="C17" s="13" t="s">
        <v>32</v>
      </c>
      <c r="D17" s="13">
        <v>2</v>
      </c>
      <c r="E17" s="13" t="s">
        <v>33</v>
      </c>
      <c r="F17" s="13" t="s">
        <v>34</v>
      </c>
      <c r="G17" s="14" t="s">
        <v>5</v>
      </c>
      <c r="H17" s="13" t="s">
        <v>35</v>
      </c>
    </row>
    <row r="18" spans="2:9" ht="30" customHeight="1" x14ac:dyDescent="0.3">
      <c r="B18" s="13" t="s">
        <v>36</v>
      </c>
      <c r="C18" s="13" t="s">
        <v>37</v>
      </c>
      <c r="D18" s="13">
        <v>2</v>
      </c>
      <c r="E18" s="13" t="s">
        <v>33</v>
      </c>
      <c r="F18" s="13" t="s">
        <v>38</v>
      </c>
      <c r="G18" s="15" t="s">
        <v>39</v>
      </c>
      <c r="H18" s="13" t="s">
        <v>40</v>
      </c>
    </row>
    <row r="19" spans="2:9" ht="30" customHeight="1" x14ac:dyDescent="0.3">
      <c r="B19" s="13" t="s">
        <v>41</v>
      </c>
      <c r="C19" s="13" t="s">
        <v>42</v>
      </c>
      <c r="D19" s="13">
        <v>2</v>
      </c>
      <c r="E19" s="13" t="s">
        <v>43</v>
      </c>
      <c r="F19" s="13" t="s">
        <v>44</v>
      </c>
      <c r="G19" s="15" t="s">
        <v>39</v>
      </c>
      <c r="H19" s="13" t="s">
        <v>45</v>
      </c>
    </row>
    <row r="22" spans="2:9" ht="27.75" customHeight="1" x14ac:dyDescent="0.3">
      <c r="B22" s="2" t="s">
        <v>46</v>
      </c>
      <c r="C22" s="2"/>
      <c r="D22" s="2"/>
      <c r="E22" s="2"/>
      <c r="F22" s="2"/>
      <c r="G22" s="2"/>
      <c r="H22" s="2"/>
      <c r="I22" s="2"/>
    </row>
  </sheetData>
  <mergeCells count="5">
    <mergeCell ref="B1:I1"/>
    <mergeCell ref="B2:I2"/>
    <mergeCell ref="B4:E4"/>
    <mergeCell ref="B13:I13"/>
    <mergeCell ref="B22:I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showGridLines="0" topLeftCell="A6" zoomScaleNormal="100" workbookViewId="0">
      <selection sqref="A1:H1"/>
    </sheetView>
  </sheetViews>
  <sheetFormatPr defaultColWidth="8.6640625" defaultRowHeight="15" customHeight="1" x14ac:dyDescent="0.3"/>
  <cols>
    <col min="1" max="1" width="10" customWidth="1"/>
    <col min="2" max="2" width="28" customWidth="1"/>
    <col min="3" max="3" width="12" customWidth="1"/>
    <col min="4" max="4" width="16" customWidth="1"/>
    <col min="5" max="5" width="14" customWidth="1"/>
    <col min="6" max="6" width="15" customWidth="1"/>
    <col min="7" max="7" width="14" customWidth="1"/>
    <col min="8" max="8" width="40" customWidth="1"/>
    <col min="9" max="9" width="30" customWidth="1"/>
  </cols>
  <sheetData>
    <row r="1" spans="1:9" ht="30" customHeight="1" x14ac:dyDescent="0.3">
      <c r="A1" s="1" t="s">
        <v>47</v>
      </c>
      <c r="B1" s="1"/>
      <c r="C1" s="1"/>
      <c r="D1" s="1"/>
      <c r="E1" s="1"/>
      <c r="F1" s="1"/>
      <c r="G1" s="1"/>
      <c r="H1" s="1"/>
    </row>
    <row r="2" spans="1:9" ht="18" customHeight="1" x14ac:dyDescent="0.3">
      <c r="A2" s="5" t="s">
        <v>48</v>
      </c>
      <c r="B2" s="5"/>
      <c r="C2" s="5"/>
      <c r="D2" s="5"/>
      <c r="E2" s="5"/>
      <c r="F2" s="5"/>
      <c r="G2" s="5"/>
      <c r="H2" s="5"/>
    </row>
    <row r="3" spans="1:9" ht="21.75" customHeight="1" x14ac:dyDescent="0.3">
      <c r="A3" s="16" t="s">
        <v>14</v>
      </c>
      <c r="B3" s="16" t="s">
        <v>15</v>
      </c>
      <c r="C3" s="16" t="s">
        <v>49</v>
      </c>
      <c r="D3" s="16" t="s">
        <v>50</v>
      </c>
      <c r="E3" s="16" t="s">
        <v>51</v>
      </c>
      <c r="F3" s="16" t="s">
        <v>52</v>
      </c>
      <c r="G3" s="16" t="s">
        <v>19</v>
      </c>
      <c r="H3" s="16" t="s">
        <v>53</v>
      </c>
      <c r="I3" s="16" t="s">
        <v>54</v>
      </c>
    </row>
    <row r="4" spans="1:9" ht="30" customHeight="1" x14ac:dyDescent="0.3">
      <c r="A4" s="17" t="s">
        <v>21</v>
      </c>
      <c r="B4" s="17" t="s">
        <v>22</v>
      </c>
      <c r="C4" s="17" t="s">
        <v>55</v>
      </c>
      <c r="D4" s="17" t="s">
        <v>56</v>
      </c>
      <c r="E4" s="17" t="s">
        <v>57</v>
      </c>
      <c r="F4" s="17" t="s">
        <v>58</v>
      </c>
      <c r="G4" s="18" t="s">
        <v>5</v>
      </c>
      <c r="H4" s="13" t="s">
        <v>59</v>
      </c>
      <c r="I4" s="17" t="s">
        <v>60</v>
      </c>
    </row>
    <row r="5" spans="1:9" ht="30" customHeight="1" x14ac:dyDescent="0.3">
      <c r="A5" s="17" t="s">
        <v>31</v>
      </c>
      <c r="B5" s="17" t="s">
        <v>32</v>
      </c>
      <c r="C5" s="17" t="s">
        <v>61</v>
      </c>
      <c r="D5" s="17" t="s">
        <v>62</v>
      </c>
      <c r="E5" s="17" t="s">
        <v>63</v>
      </c>
      <c r="F5" s="17" t="s">
        <v>58</v>
      </c>
      <c r="G5" s="18" t="s">
        <v>5</v>
      </c>
      <c r="H5" s="13" t="s">
        <v>64</v>
      </c>
      <c r="I5" s="17" t="s">
        <v>65</v>
      </c>
    </row>
    <row r="6" spans="1:9" ht="30" customHeight="1" x14ac:dyDescent="0.3">
      <c r="A6" s="17" t="s">
        <v>26</v>
      </c>
      <c r="B6" s="17" t="s">
        <v>66</v>
      </c>
      <c r="C6" s="17" t="s">
        <v>58</v>
      </c>
      <c r="D6" s="17" t="s">
        <v>67</v>
      </c>
      <c r="E6" s="17" t="s">
        <v>67</v>
      </c>
      <c r="F6" s="17" t="s">
        <v>68</v>
      </c>
      <c r="G6" s="18" t="s">
        <v>5</v>
      </c>
      <c r="H6" s="13" t="s">
        <v>69</v>
      </c>
      <c r="I6" s="17" t="s">
        <v>70</v>
      </c>
    </row>
    <row r="7" spans="1:9" ht="30" customHeight="1" x14ac:dyDescent="0.3">
      <c r="A7" s="17" t="s">
        <v>36</v>
      </c>
      <c r="B7" s="17" t="s">
        <v>37</v>
      </c>
      <c r="C7" s="17" t="s">
        <v>71</v>
      </c>
      <c r="D7" s="17" t="s">
        <v>72</v>
      </c>
      <c r="E7" s="17" t="s">
        <v>73</v>
      </c>
      <c r="F7" s="17" t="s">
        <v>58</v>
      </c>
      <c r="G7" s="19" t="s">
        <v>39</v>
      </c>
      <c r="H7" s="13" t="s">
        <v>74</v>
      </c>
      <c r="I7" s="17" t="s">
        <v>75</v>
      </c>
    </row>
    <row r="8" spans="1:9" ht="30" customHeight="1" x14ac:dyDescent="0.3">
      <c r="A8" s="17" t="s">
        <v>76</v>
      </c>
      <c r="B8" s="17" t="s">
        <v>77</v>
      </c>
      <c r="C8" s="17" t="s">
        <v>78</v>
      </c>
      <c r="D8" s="17" t="s">
        <v>79</v>
      </c>
      <c r="E8" s="17" t="s">
        <v>79</v>
      </c>
      <c r="F8" s="17" t="s">
        <v>68</v>
      </c>
      <c r="G8" s="19" t="s">
        <v>39</v>
      </c>
      <c r="H8" s="13" t="s">
        <v>80</v>
      </c>
      <c r="I8" s="17" t="s">
        <v>81</v>
      </c>
    </row>
    <row r="9" spans="1:9" ht="30" customHeight="1" x14ac:dyDescent="0.3">
      <c r="A9" s="17" t="s">
        <v>41</v>
      </c>
      <c r="B9" s="17" t="s">
        <v>42</v>
      </c>
      <c r="C9" s="17" t="s">
        <v>58</v>
      </c>
      <c r="D9" s="17" t="s">
        <v>79</v>
      </c>
      <c r="E9" s="17" t="s">
        <v>79</v>
      </c>
      <c r="F9" s="17" t="s">
        <v>58</v>
      </c>
      <c r="G9" s="19" t="s">
        <v>39</v>
      </c>
      <c r="H9" s="13" t="s">
        <v>82</v>
      </c>
      <c r="I9" s="17" t="s">
        <v>83</v>
      </c>
    </row>
    <row r="10" spans="1:9" ht="30" customHeight="1" x14ac:dyDescent="0.3">
      <c r="A10" s="17" t="s">
        <v>84</v>
      </c>
      <c r="B10" s="17" t="s">
        <v>85</v>
      </c>
      <c r="C10" s="17" t="s">
        <v>58</v>
      </c>
      <c r="D10" s="17" t="s">
        <v>79</v>
      </c>
      <c r="E10" s="17" t="s">
        <v>79</v>
      </c>
      <c r="F10" s="17" t="s">
        <v>58</v>
      </c>
      <c r="G10" s="19" t="s">
        <v>39</v>
      </c>
      <c r="H10" s="13" t="s">
        <v>86</v>
      </c>
      <c r="I10" s="17" t="s">
        <v>87</v>
      </c>
    </row>
    <row r="11" spans="1:9" ht="30" customHeight="1" x14ac:dyDescent="0.3">
      <c r="A11" s="17" t="s">
        <v>88</v>
      </c>
      <c r="B11" s="17" t="s">
        <v>89</v>
      </c>
      <c r="C11" s="17" t="s">
        <v>58</v>
      </c>
      <c r="D11" s="17" t="s">
        <v>79</v>
      </c>
      <c r="E11" s="17" t="s">
        <v>79</v>
      </c>
      <c r="F11" s="17" t="s">
        <v>68</v>
      </c>
      <c r="G11" s="19" t="s">
        <v>39</v>
      </c>
      <c r="H11" s="13" t="s">
        <v>90</v>
      </c>
      <c r="I11" s="17" t="s">
        <v>87</v>
      </c>
    </row>
  </sheetData>
  <autoFilter ref="A3:I3" xr:uid="{00000000-0009-0000-0000-000001000000}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zoomScaleNormal="100" workbookViewId="0">
      <selection sqref="A1:H1"/>
    </sheetView>
  </sheetViews>
  <sheetFormatPr defaultColWidth="8.6640625" defaultRowHeight="15" customHeight="1" x14ac:dyDescent="0.3"/>
  <cols>
    <col min="1" max="1" width="10" customWidth="1"/>
    <col min="2" max="2" width="26" customWidth="1"/>
    <col min="3" max="3" width="16" customWidth="1"/>
    <col min="4" max="4" width="14" customWidth="1"/>
    <col min="5" max="5" width="22" customWidth="1"/>
    <col min="6" max="6" width="63.21875" customWidth="1"/>
    <col min="7" max="7" width="28.6640625" customWidth="1"/>
    <col min="8" max="8" width="28" customWidth="1"/>
  </cols>
  <sheetData>
    <row r="1" spans="1:8" ht="30" customHeight="1" x14ac:dyDescent="0.3">
      <c r="A1" s="1" t="s">
        <v>91</v>
      </c>
      <c r="B1" s="1"/>
      <c r="C1" s="1"/>
      <c r="D1" s="1"/>
      <c r="E1" s="1"/>
      <c r="F1" s="1"/>
      <c r="G1" s="1"/>
      <c r="H1" s="1"/>
    </row>
    <row r="2" spans="1:8" ht="18" customHeight="1" x14ac:dyDescent="0.3">
      <c r="A2" s="5" t="s">
        <v>92</v>
      </c>
      <c r="B2" s="5"/>
      <c r="C2" s="5"/>
      <c r="D2" s="5"/>
      <c r="E2" s="5"/>
      <c r="F2" s="5"/>
      <c r="G2" s="5"/>
      <c r="H2" s="5"/>
    </row>
    <row r="3" spans="1:8" ht="21.75" customHeight="1" x14ac:dyDescent="0.3">
      <c r="A3" s="16" t="s">
        <v>14</v>
      </c>
      <c r="B3" s="16" t="s">
        <v>15</v>
      </c>
      <c r="C3" s="16" t="s">
        <v>93</v>
      </c>
      <c r="D3" s="16" t="s">
        <v>94</v>
      </c>
      <c r="E3" s="16" t="s">
        <v>95</v>
      </c>
      <c r="F3" s="16" t="s">
        <v>96</v>
      </c>
      <c r="G3" s="16" t="s">
        <v>97</v>
      </c>
      <c r="H3" s="16" t="s">
        <v>54</v>
      </c>
    </row>
    <row r="4" spans="1:8" ht="34.5" customHeight="1" x14ac:dyDescent="0.3">
      <c r="A4" s="20" t="s">
        <v>98</v>
      </c>
      <c r="B4" s="20" t="s">
        <v>99</v>
      </c>
      <c r="C4" s="20" t="s">
        <v>100</v>
      </c>
      <c r="D4" s="20" t="s">
        <v>101</v>
      </c>
      <c r="E4" s="20" t="s">
        <v>102</v>
      </c>
      <c r="F4" s="21" t="s">
        <v>103</v>
      </c>
      <c r="G4" s="22" t="s">
        <v>104</v>
      </c>
      <c r="H4" s="20" t="s">
        <v>105</v>
      </c>
    </row>
    <row r="5" spans="1:8" ht="34.5" customHeight="1" x14ac:dyDescent="0.3">
      <c r="A5" s="20" t="s">
        <v>98</v>
      </c>
      <c r="B5" s="20" t="s">
        <v>99</v>
      </c>
      <c r="C5" s="20" t="s">
        <v>106</v>
      </c>
      <c r="D5" s="20" t="s">
        <v>107</v>
      </c>
      <c r="E5" s="20" t="s">
        <v>108</v>
      </c>
      <c r="F5" s="21" t="s">
        <v>109</v>
      </c>
      <c r="G5" s="22" t="s">
        <v>110</v>
      </c>
      <c r="H5" s="20" t="s">
        <v>105</v>
      </c>
    </row>
    <row r="6" spans="1:8" ht="34.5" customHeight="1" x14ac:dyDescent="0.3">
      <c r="A6" s="20" t="s">
        <v>111</v>
      </c>
      <c r="B6" s="20" t="s">
        <v>112</v>
      </c>
      <c r="C6" s="20" t="s">
        <v>113</v>
      </c>
      <c r="D6" s="20" t="s">
        <v>114</v>
      </c>
      <c r="E6" s="20" t="s">
        <v>115</v>
      </c>
      <c r="F6" s="21" t="s">
        <v>116</v>
      </c>
      <c r="G6" s="18" t="s">
        <v>117</v>
      </c>
      <c r="H6" s="20" t="s">
        <v>118</v>
      </c>
    </row>
    <row r="7" spans="1:8" ht="34.5" customHeight="1" x14ac:dyDescent="0.3">
      <c r="A7" s="20" t="s">
        <v>21</v>
      </c>
      <c r="B7" s="20" t="s">
        <v>22</v>
      </c>
      <c r="C7" s="20" t="s">
        <v>119</v>
      </c>
      <c r="D7" s="20" t="s">
        <v>120</v>
      </c>
      <c r="E7" s="20" t="s">
        <v>115</v>
      </c>
      <c r="F7" s="21" t="s">
        <v>121</v>
      </c>
      <c r="G7" s="23" t="s">
        <v>122</v>
      </c>
      <c r="H7" s="20" t="s">
        <v>123</v>
      </c>
    </row>
    <row r="8" spans="1:8" ht="34.5" customHeight="1" x14ac:dyDescent="0.3">
      <c r="A8" s="20" t="s">
        <v>124</v>
      </c>
      <c r="B8" s="20" t="s">
        <v>125</v>
      </c>
      <c r="C8" s="20" t="s">
        <v>126</v>
      </c>
      <c r="D8" s="20" t="s">
        <v>127</v>
      </c>
      <c r="E8" s="20" t="s">
        <v>128</v>
      </c>
      <c r="F8" s="21" t="s">
        <v>129</v>
      </c>
      <c r="G8" s="22" t="s">
        <v>130</v>
      </c>
      <c r="H8" s="20" t="s">
        <v>131</v>
      </c>
    </row>
    <row r="9" spans="1:8" ht="34.5" customHeight="1" x14ac:dyDescent="0.3">
      <c r="A9" s="20" t="s">
        <v>71</v>
      </c>
      <c r="B9" s="20" t="s">
        <v>132</v>
      </c>
      <c r="C9" s="20" t="s">
        <v>133</v>
      </c>
      <c r="D9" s="20" t="s">
        <v>134</v>
      </c>
      <c r="E9" s="20" t="s">
        <v>135</v>
      </c>
      <c r="F9" s="21" t="s">
        <v>136</v>
      </c>
      <c r="G9" s="22" t="s">
        <v>130</v>
      </c>
      <c r="H9" s="20" t="s">
        <v>131</v>
      </c>
    </row>
  </sheetData>
  <autoFilter ref="A3:H3" xr:uid="{00000000-0009-0000-0000-000002000000}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showGridLines="0" zoomScaleNormal="100" workbookViewId="0">
      <selection sqref="A1:H1"/>
    </sheetView>
  </sheetViews>
  <sheetFormatPr defaultColWidth="8.6640625" defaultRowHeight="15" customHeight="1" x14ac:dyDescent="0.3"/>
  <cols>
    <col min="1" max="1" width="10" customWidth="1"/>
    <col min="2" max="4" width="22" customWidth="1"/>
    <col min="5" max="5" width="16" customWidth="1"/>
    <col min="6" max="6" width="14" customWidth="1"/>
    <col min="7" max="7" width="12" customWidth="1"/>
    <col min="8" max="8" width="14" customWidth="1"/>
    <col min="9" max="9" width="38" customWidth="1"/>
    <col min="10" max="10" width="28" customWidth="1"/>
  </cols>
  <sheetData>
    <row r="1" spans="1:10" ht="30" customHeight="1" x14ac:dyDescent="0.3">
      <c r="A1" s="1" t="s">
        <v>137</v>
      </c>
      <c r="B1" s="1"/>
      <c r="C1" s="1"/>
      <c r="D1" s="1"/>
      <c r="E1" s="1"/>
      <c r="F1" s="1"/>
      <c r="G1" s="1"/>
      <c r="H1" s="1"/>
    </row>
    <row r="2" spans="1:10" ht="18" customHeight="1" x14ac:dyDescent="0.3">
      <c r="A2" s="5" t="s">
        <v>138</v>
      </c>
      <c r="B2" s="5"/>
      <c r="C2" s="5"/>
      <c r="D2" s="5"/>
      <c r="E2" s="5"/>
      <c r="F2" s="5"/>
      <c r="G2" s="5"/>
      <c r="H2" s="5"/>
    </row>
    <row r="3" spans="1:10" ht="21.75" customHeight="1" x14ac:dyDescent="0.3">
      <c r="A3" s="16" t="s">
        <v>14</v>
      </c>
      <c r="B3" s="16" t="s">
        <v>15</v>
      </c>
      <c r="C3" s="16" t="s">
        <v>139</v>
      </c>
      <c r="D3" s="16" t="s">
        <v>140</v>
      </c>
      <c r="E3" s="16" t="s">
        <v>141</v>
      </c>
      <c r="F3" s="16" t="s">
        <v>142</v>
      </c>
      <c r="G3" s="16" t="s">
        <v>52</v>
      </c>
      <c r="H3" s="16" t="s">
        <v>19</v>
      </c>
      <c r="I3" s="16" t="s">
        <v>143</v>
      </c>
      <c r="J3" s="16" t="s">
        <v>54</v>
      </c>
    </row>
    <row r="4" spans="1:10" ht="34.5" customHeight="1" x14ac:dyDescent="0.3">
      <c r="A4" s="20" t="s">
        <v>144</v>
      </c>
      <c r="B4" s="20" t="s">
        <v>145</v>
      </c>
      <c r="C4" s="20" t="s">
        <v>146</v>
      </c>
      <c r="D4" s="20" t="s">
        <v>147</v>
      </c>
      <c r="E4" s="20" t="s">
        <v>148</v>
      </c>
      <c r="F4" s="20" t="s">
        <v>149</v>
      </c>
      <c r="G4" s="20" t="s">
        <v>150</v>
      </c>
      <c r="H4" s="23" t="s">
        <v>151</v>
      </c>
      <c r="I4" s="21" t="s">
        <v>152</v>
      </c>
      <c r="J4" s="20" t="s">
        <v>153</v>
      </c>
    </row>
    <row r="5" spans="1:10" ht="34.5" customHeight="1" x14ac:dyDescent="0.3">
      <c r="A5" s="20" t="s">
        <v>111</v>
      </c>
      <c r="B5" s="20" t="s">
        <v>112</v>
      </c>
      <c r="C5" s="20" t="s">
        <v>154</v>
      </c>
      <c r="D5" s="20" t="s">
        <v>155</v>
      </c>
      <c r="E5" s="20" t="s">
        <v>114</v>
      </c>
      <c r="F5" s="20" t="s">
        <v>156</v>
      </c>
      <c r="G5" s="20" t="s">
        <v>68</v>
      </c>
      <c r="H5" s="18" t="s">
        <v>151</v>
      </c>
      <c r="I5" s="21" t="s">
        <v>157</v>
      </c>
      <c r="J5" s="20" t="s">
        <v>158</v>
      </c>
    </row>
    <row r="6" spans="1:10" ht="34.5" customHeight="1" x14ac:dyDescent="0.3">
      <c r="A6" s="20" t="s">
        <v>71</v>
      </c>
      <c r="B6" s="20" t="s">
        <v>159</v>
      </c>
      <c r="C6" s="20" t="s">
        <v>160</v>
      </c>
      <c r="D6" s="20" t="s">
        <v>161</v>
      </c>
      <c r="E6" s="20" t="s">
        <v>162</v>
      </c>
      <c r="F6" s="20" t="s">
        <v>149</v>
      </c>
      <c r="G6" s="20" t="s">
        <v>150</v>
      </c>
      <c r="H6" s="23" t="s">
        <v>151</v>
      </c>
      <c r="I6" s="21" t="s">
        <v>163</v>
      </c>
      <c r="J6" s="20" t="s">
        <v>153</v>
      </c>
    </row>
    <row r="7" spans="1:10" ht="34.5" customHeight="1" x14ac:dyDescent="0.3">
      <c r="A7" s="20" t="s">
        <v>71</v>
      </c>
      <c r="B7" s="20" t="s">
        <v>164</v>
      </c>
      <c r="C7" s="20" t="s">
        <v>165</v>
      </c>
      <c r="D7" s="20" t="s">
        <v>166</v>
      </c>
      <c r="E7" s="20" t="s">
        <v>167</v>
      </c>
      <c r="F7" s="20" t="s">
        <v>168</v>
      </c>
      <c r="G7" s="20" t="s">
        <v>58</v>
      </c>
      <c r="H7" s="22" t="s">
        <v>169</v>
      </c>
      <c r="I7" s="21" t="s">
        <v>170</v>
      </c>
      <c r="J7" s="20" t="s">
        <v>171</v>
      </c>
    </row>
    <row r="8" spans="1:10" ht="34.5" customHeight="1" x14ac:dyDescent="0.3">
      <c r="A8" s="20" t="s">
        <v>21</v>
      </c>
      <c r="B8" s="20" t="s">
        <v>22</v>
      </c>
      <c r="C8" s="20" t="s">
        <v>172</v>
      </c>
      <c r="D8" s="20" t="s">
        <v>173</v>
      </c>
      <c r="E8" s="20" t="s">
        <v>174</v>
      </c>
      <c r="F8" s="20" t="s">
        <v>175</v>
      </c>
      <c r="G8" s="20" t="s">
        <v>58</v>
      </c>
      <c r="H8" s="18" t="s">
        <v>5</v>
      </c>
      <c r="I8" s="21" t="s">
        <v>176</v>
      </c>
      <c r="J8" s="20" t="s">
        <v>123</v>
      </c>
    </row>
    <row r="9" spans="1:10" ht="34.5" customHeight="1" x14ac:dyDescent="0.3">
      <c r="A9" s="20" t="s">
        <v>177</v>
      </c>
      <c r="B9" s="20" t="s">
        <v>178</v>
      </c>
      <c r="C9" s="20" t="s">
        <v>179</v>
      </c>
      <c r="D9" s="20" t="s">
        <v>180</v>
      </c>
      <c r="E9" s="20" t="s">
        <v>181</v>
      </c>
      <c r="F9" s="20" t="s">
        <v>175</v>
      </c>
      <c r="G9" s="20" t="s">
        <v>58</v>
      </c>
      <c r="H9" s="19" t="s">
        <v>39</v>
      </c>
      <c r="I9" s="21" t="s">
        <v>182</v>
      </c>
      <c r="J9" s="20" t="s">
        <v>183</v>
      </c>
    </row>
    <row r="10" spans="1:10" ht="34.5" customHeight="1" x14ac:dyDescent="0.3">
      <c r="A10" s="20" t="s">
        <v>26</v>
      </c>
      <c r="B10" s="20" t="s">
        <v>66</v>
      </c>
      <c r="C10" s="20" t="s">
        <v>184</v>
      </c>
      <c r="D10" s="20" t="s">
        <v>185</v>
      </c>
      <c r="E10" s="20" t="s">
        <v>186</v>
      </c>
      <c r="F10" s="20" t="s">
        <v>187</v>
      </c>
      <c r="G10" s="20" t="s">
        <v>68</v>
      </c>
      <c r="H10" s="18" t="s">
        <v>5</v>
      </c>
      <c r="I10" s="21" t="s">
        <v>188</v>
      </c>
      <c r="J10" s="20" t="s">
        <v>70</v>
      </c>
    </row>
    <row r="11" spans="1:10" ht="34.5" customHeight="1" x14ac:dyDescent="0.3">
      <c r="A11" s="20" t="s">
        <v>41</v>
      </c>
      <c r="B11" s="20" t="s">
        <v>42</v>
      </c>
      <c r="C11" s="20" t="s">
        <v>189</v>
      </c>
      <c r="D11" s="20" t="s">
        <v>190</v>
      </c>
      <c r="E11" s="20" t="s">
        <v>191</v>
      </c>
      <c r="F11" s="20" t="s">
        <v>187</v>
      </c>
      <c r="G11" s="20" t="s">
        <v>58</v>
      </c>
      <c r="H11" s="19" t="s">
        <v>39</v>
      </c>
      <c r="I11" s="21" t="s">
        <v>192</v>
      </c>
      <c r="J11" s="20" t="s">
        <v>70</v>
      </c>
    </row>
  </sheetData>
  <autoFilter ref="A3:J3" xr:uid="{00000000-0009-0000-0000-000003000000}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showGridLines="0" tabSelected="1" zoomScaleNormal="100" workbookViewId="0">
      <selection sqref="A1:H1"/>
    </sheetView>
  </sheetViews>
  <sheetFormatPr defaultColWidth="8.6640625" defaultRowHeight="15" customHeight="1" x14ac:dyDescent="0.3"/>
  <cols>
    <col min="1" max="1" width="10" customWidth="1"/>
    <col min="2" max="3" width="26" customWidth="1"/>
    <col min="4" max="4" width="14" customWidth="1"/>
    <col min="5" max="5" width="15.77734375" customWidth="1"/>
    <col min="6" max="6" width="63.6640625" customWidth="1"/>
    <col min="7" max="7" width="26" customWidth="1"/>
  </cols>
  <sheetData>
    <row r="1" spans="1:8" ht="30" customHeight="1" x14ac:dyDescent="0.3">
      <c r="A1" s="1" t="s">
        <v>193</v>
      </c>
      <c r="B1" s="1"/>
      <c r="C1" s="1"/>
      <c r="D1" s="1"/>
      <c r="E1" s="1"/>
      <c r="F1" s="1"/>
      <c r="G1" s="1"/>
      <c r="H1" s="1"/>
    </row>
    <row r="2" spans="1:8" ht="18" customHeight="1" x14ac:dyDescent="0.3">
      <c r="A2" s="5" t="s">
        <v>194</v>
      </c>
      <c r="B2" s="5"/>
      <c r="C2" s="5"/>
      <c r="D2" s="5"/>
      <c r="E2" s="5"/>
      <c r="F2" s="5"/>
      <c r="G2" s="5"/>
      <c r="H2" s="5"/>
    </row>
    <row r="3" spans="1:8" ht="21.75" customHeight="1" x14ac:dyDescent="0.3">
      <c r="A3" s="16" t="s">
        <v>14</v>
      </c>
      <c r="B3" s="16" t="s">
        <v>15</v>
      </c>
      <c r="C3" s="16" t="s">
        <v>195</v>
      </c>
      <c r="D3" s="16" t="s">
        <v>196</v>
      </c>
      <c r="E3" s="16" t="s">
        <v>197</v>
      </c>
      <c r="F3" s="16" t="s">
        <v>198</v>
      </c>
      <c r="G3" s="16" t="s">
        <v>54</v>
      </c>
    </row>
    <row r="4" spans="1:8" ht="34.5" customHeight="1" x14ac:dyDescent="0.3">
      <c r="A4" s="20" t="s">
        <v>21</v>
      </c>
      <c r="B4" s="20" t="s">
        <v>22</v>
      </c>
      <c r="C4" s="20" t="s">
        <v>199</v>
      </c>
      <c r="D4" s="23" t="s">
        <v>200</v>
      </c>
      <c r="E4" s="20" t="s">
        <v>67</v>
      </c>
      <c r="F4" s="21" t="s">
        <v>201</v>
      </c>
      <c r="G4" s="20" t="s">
        <v>202</v>
      </c>
    </row>
    <row r="5" spans="1:8" ht="34.5" customHeight="1" x14ac:dyDescent="0.3">
      <c r="A5" s="20" t="s">
        <v>26</v>
      </c>
      <c r="B5" s="20" t="s">
        <v>27</v>
      </c>
      <c r="C5" s="20" t="s">
        <v>203</v>
      </c>
      <c r="D5" s="23" t="s">
        <v>200</v>
      </c>
      <c r="E5" s="20" t="s">
        <v>204</v>
      </c>
      <c r="F5" s="21" t="s">
        <v>205</v>
      </c>
      <c r="G5" s="20" t="s">
        <v>206</v>
      </c>
    </row>
    <row r="6" spans="1:8" ht="34.5" customHeight="1" x14ac:dyDescent="0.3">
      <c r="A6" s="20" t="s">
        <v>41</v>
      </c>
      <c r="B6" s="20" t="s">
        <v>42</v>
      </c>
      <c r="C6" s="20" t="s">
        <v>207</v>
      </c>
      <c r="D6" s="19" t="s">
        <v>208</v>
      </c>
      <c r="E6" s="20" t="s">
        <v>79</v>
      </c>
      <c r="F6" s="21" t="s">
        <v>209</v>
      </c>
      <c r="G6" s="20" t="s">
        <v>210</v>
      </c>
    </row>
    <row r="7" spans="1:8" ht="34.5" customHeight="1" x14ac:dyDescent="0.3">
      <c r="A7" s="20" t="s">
        <v>111</v>
      </c>
      <c r="B7" s="20" t="s">
        <v>112</v>
      </c>
      <c r="C7" s="20" t="s">
        <v>211</v>
      </c>
      <c r="D7" s="18" t="s">
        <v>212</v>
      </c>
      <c r="E7" s="20" t="s">
        <v>79</v>
      </c>
      <c r="F7" s="21" t="s">
        <v>213</v>
      </c>
      <c r="G7" s="20" t="s">
        <v>214</v>
      </c>
    </row>
    <row r="8" spans="1:8" ht="34.5" customHeight="1" x14ac:dyDescent="0.3">
      <c r="A8" s="20" t="s">
        <v>215</v>
      </c>
      <c r="B8" s="20" t="s">
        <v>216</v>
      </c>
      <c r="C8" s="20" t="s">
        <v>203</v>
      </c>
      <c r="D8" s="23" t="s">
        <v>200</v>
      </c>
      <c r="E8" s="20" t="s">
        <v>204</v>
      </c>
      <c r="F8" s="21" t="s">
        <v>217</v>
      </c>
      <c r="G8" s="20" t="s">
        <v>218</v>
      </c>
    </row>
  </sheetData>
  <autoFilter ref="A3:G3" xr:uid="{00000000-0009-0000-0000-000004000000}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showGridLines="0" zoomScaleNormal="100" workbookViewId="0">
      <selection sqref="A1:H1"/>
    </sheetView>
  </sheetViews>
  <sheetFormatPr defaultColWidth="8.6640625" defaultRowHeight="15" customHeight="1" x14ac:dyDescent="0.3"/>
  <cols>
    <col min="1" max="1" width="40" customWidth="1"/>
    <col min="2" max="2" width="24" customWidth="1"/>
    <col min="3" max="3" width="22" customWidth="1"/>
    <col min="4" max="4" width="12" customWidth="1"/>
    <col min="5" max="5" width="30" customWidth="1"/>
    <col min="6" max="6" width="35" customWidth="1"/>
    <col min="7" max="7" width="26" customWidth="1"/>
  </cols>
  <sheetData>
    <row r="1" spans="1:8" ht="30" customHeight="1" x14ac:dyDescent="0.3">
      <c r="A1" s="1" t="s">
        <v>219</v>
      </c>
      <c r="B1" s="1"/>
      <c r="C1" s="1"/>
      <c r="D1" s="1"/>
      <c r="E1" s="1"/>
      <c r="F1" s="1"/>
      <c r="G1" s="1"/>
      <c r="H1" s="1"/>
    </row>
    <row r="2" spans="1:8" ht="18" customHeight="1" x14ac:dyDescent="0.3">
      <c r="A2" s="5" t="s">
        <v>220</v>
      </c>
      <c r="B2" s="5"/>
      <c r="C2" s="5"/>
      <c r="D2" s="5"/>
      <c r="E2" s="5"/>
      <c r="F2" s="5"/>
      <c r="G2" s="5"/>
      <c r="H2" s="5"/>
    </row>
    <row r="3" spans="1:8" ht="21.75" customHeight="1" x14ac:dyDescent="0.3">
      <c r="A3" s="16" t="s">
        <v>221</v>
      </c>
      <c r="B3" s="16" t="s">
        <v>222</v>
      </c>
      <c r="C3" s="16" t="s">
        <v>223</v>
      </c>
      <c r="D3" s="16" t="s">
        <v>224</v>
      </c>
      <c r="E3" s="16" t="s">
        <v>225</v>
      </c>
      <c r="F3" s="16" t="s">
        <v>226</v>
      </c>
      <c r="G3" s="16" t="s">
        <v>54</v>
      </c>
    </row>
    <row r="4" spans="1:8" ht="30" customHeight="1" x14ac:dyDescent="0.3">
      <c r="A4" s="20" t="s">
        <v>227</v>
      </c>
      <c r="B4" s="20" t="s">
        <v>228</v>
      </c>
      <c r="C4" s="20" t="s">
        <v>229</v>
      </c>
      <c r="D4" s="20" t="s">
        <v>230</v>
      </c>
      <c r="E4" s="21" t="s">
        <v>231</v>
      </c>
      <c r="F4" s="24" t="s">
        <v>232</v>
      </c>
      <c r="G4" s="20" t="s">
        <v>233</v>
      </c>
    </row>
    <row r="5" spans="1:8" ht="30" customHeight="1" x14ac:dyDescent="0.3">
      <c r="A5" s="20" t="s">
        <v>234</v>
      </c>
      <c r="B5" s="20" t="s">
        <v>114</v>
      </c>
      <c r="C5" s="20" t="s">
        <v>235</v>
      </c>
      <c r="D5" s="20" t="s">
        <v>230</v>
      </c>
      <c r="E5" s="21" t="s">
        <v>236</v>
      </c>
      <c r="F5" s="24" t="s">
        <v>237</v>
      </c>
      <c r="G5" s="20" t="s">
        <v>238</v>
      </c>
    </row>
    <row r="6" spans="1:8" ht="30" customHeight="1" x14ac:dyDescent="0.3">
      <c r="A6" s="20" t="s">
        <v>239</v>
      </c>
      <c r="B6" s="20" t="s">
        <v>240</v>
      </c>
      <c r="C6" s="20" t="s">
        <v>241</v>
      </c>
      <c r="D6" s="20" t="s">
        <v>230</v>
      </c>
      <c r="E6" s="21" t="s">
        <v>242</v>
      </c>
      <c r="F6" s="25" t="s">
        <v>243</v>
      </c>
      <c r="G6" s="20" t="s">
        <v>244</v>
      </c>
    </row>
    <row r="7" spans="1:8" ht="30" customHeight="1" x14ac:dyDescent="0.3">
      <c r="A7" s="20" t="s">
        <v>245</v>
      </c>
      <c r="B7" s="20" t="s">
        <v>246</v>
      </c>
      <c r="C7" s="20" t="s">
        <v>247</v>
      </c>
      <c r="D7" s="20" t="s">
        <v>248</v>
      </c>
      <c r="E7" s="21" t="s">
        <v>249</v>
      </c>
      <c r="F7" s="25" t="s">
        <v>250</v>
      </c>
      <c r="G7" s="20" t="s">
        <v>251</v>
      </c>
    </row>
    <row r="8" spans="1:8" ht="30" customHeight="1" x14ac:dyDescent="0.3">
      <c r="A8" s="20" t="s">
        <v>252</v>
      </c>
      <c r="B8" s="20" t="s">
        <v>253</v>
      </c>
      <c r="C8" s="20" t="s">
        <v>254</v>
      </c>
      <c r="D8" s="20" t="s">
        <v>230</v>
      </c>
      <c r="E8" s="21" t="s">
        <v>255</v>
      </c>
      <c r="F8" s="26" t="s">
        <v>256</v>
      </c>
      <c r="G8" s="20" t="s">
        <v>257</v>
      </c>
    </row>
    <row r="9" spans="1:8" ht="30" customHeight="1" x14ac:dyDescent="0.3">
      <c r="A9" s="20" t="s">
        <v>258</v>
      </c>
      <c r="B9" s="20" t="s">
        <v>259</v>
      </c>
      <c r="C9" s="20" t="s">
        <v>260</v>
      </c>
      <c r="D9" s="20" t="s">
        <v>248</v>
      </c>
      <c r="E9" s="21" t="s">
        <v>261</v>
      </c>
      <c r="F9" s="26" t="s">
        <v>262</v>
      </c>
      <c r="G9" s="20" t="s">
        <v>257</v>
      </c>
    </row>
  </sheetData>
  <autoFilter ref="A3:G3" xr:uid="{00000000-0009-0000-0000-000005000000}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Unusual Volume</vt:lpstr>
      <vt:lpstr>SEC Filings</vt:lpstr>
      <vt:lpstr>FDA Catalysts</vt:lpstr>
      <vt:lpstr>Social Buzz</vt:lpstr>
      <vt:lpstr>Conferences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ampsson ampsson</cp:lastModifiedBy>
  <cp:revision>0</cp:revision>
  <dcterms:created xsi:type="dcterms:W3CDTF">2026-03-21T19:33:24Z</dcterms:created>
  <dcterms:modified xsi:type="dcterms:W3CDTF">2026-03-21T19:53:16Z</dcterms:modified>
  <dc:language>en-US</dc:language>
</cp:coreProperties>
</file>