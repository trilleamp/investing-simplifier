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ytte\CLAUDE CODE WORK\"/>
    </mc:Choice>
  </mc:AlternateContent>
  <xr:revisionPtr revIDLastSave="0" documentId="13_ncr:1_{E216288A-510F-4B80-AEC9-76CC76C5948F}" xr6:coauthVersionLast="47" xr6:coauthVersionMax="47" xr10:uidLastSave="{00000000-0000-0000-0000-000000000000}"/>
  <bookViews>
    <workbookView xWindow="0" yWindow="1884" windowWidth="23040" windowHeight="10764" tabRatio="500" activeTab="4" xr2:uid="{00000000-000D-0000-FFFF-FFFF00000000}"/>
  </bookViews>
  <sheets>
    <sheet name="Dashboard" sheetId="1" r:id="rId1"/>
    <sheet name="Unusual Volume" sheetId="2" r:id="rId2"/>
    <sheet name="SEC Filings" sheetId="3" r:id="rId3"/>
    <sheet name="FDA Catalysts" sheetId="4" r:id="rId4"/>
    <sheet name="Social Buzz" sheetId="5" r:id="rId5"/>
    <sheet name="Conferences" sheetId="6" r:id="rId6"/>
  </sheets>
  <definedNames>
    <definedName name="_xlnm._FilterDatabase" localSheetId="5" hidden="1">Conferences!$A$2:$H$2</definedName>
    <definedName name="_xlnm._FilterDatabase" localSheetId="3" hidden="1">'FDA Catalysts'!$A$2:$I$2</definedName>
    <definedName name="_xlnm._FilterDatabase" localSheetId="2" hidden="1">'SEC Filings'!$A$2:$J$2</definedName>
    <definedName name="_xlnm._FilterDatabase" localSheetId="4" hidden="1">'Social Buzz'!$A$2:$H$2</definedName>
    <definedName name="_xlnm._FilterDatabase" localSheetId="1" hidden="1">'Unusual Volume'!$A$2:$I$2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2" i="1" l="1"/>
  <c r="C12" i="1"/>
  <c r="B12" i="1"/>
</calcChain>
</file>

<file path=xl/sharedStrings.xml><?xml version="1.0" encoding="utf-8"?>
<sst xmlns="http://schemas.openxmlformats.org/spreadsheetml/2006/main" count="464" uniqueCount="372">
  <si>
    <t>BIOTECH SCUTTLEBUTT SCANNER — Daily Intelligence Dashboard</t>
  </si>
  <si>
    <t>Report Date: March 31, 2026  |  Focus: Small-Cap &amp; Micro-Cap Biotech (&lt;$2B market cap)</t>
  </si>
  <si>
    <t>SIGNAL SUMMARY BY MODULE</t>
  </si>
  <si>
    <t>MODULE</t>
  </si>
  <si>
    <t>HIGH Signals</t>
  </si>
  <si>
    <t>MEDIUM Signals</t>
  </si>
  <si>
    <t>TOTAL Signals</t>
  </si>
  <si>
    <t>Top Ticker</t>
  </si>
  <si>
    <t>Key Insight</t>
  </si>
  <si>
    <t>Source(s)</t>
  </si>
  <si>
    <t>Unusual Volume &amp; Price Movers</t>
  </si>
  <si>
    <t>APLS (+140%), VRDN (-38%)</t>
  </si>
  <si>
    <t>Biogen acq. APLS; VRDN positive Ph3 but -38% (contrarian watch)</t>
  </si>
  <si>
    <t>StockTwits, Benzinga, MarketBeat</t>
  </si>
  <si>
    <t>SEC Insider Buying &amp; Filings</t>
  </si>
  <si>
    <t>IBIO (CLO buy), EDSA (13D)</t>
  </si>
  <si>
    <t>IBIO CLO bought 13,934 sh open-market 3/26; EDSA major shareholder at 19.99%</t>
  </si>
  <si>
    <t>OpenInsider, StockTitan</t>
  </si>
  <si>
    <t>FDA &amp; Clinical Catalysts</t>
  </si>
  <si>
    <t>Orca Bio PDUFA Apr 6</t>
  </si>
  <si>
    <t>139 total catalysts in April; ODAC Apr 30 for AZ camizestrant</t>
  </si>
  <si>
    <t>CatalystAlert, BiopharmaWatch, FierceBiotech</t>
  </si>
  <si>
    <t>Social Sentiment &amp; Chatter</t>
  </si>
  <si>
    <t>APLS (Biogen deal buzz)</t>
  </si>
  <si>
    <t>APLS #1 trending; VRDN confusion; VKTX/ADMA long-term buzz</t>
  </si>
  <si>
    <t>StockTwits, Reddit, Fintwit</t>
  </si>
  <si>
    <t>Conference Calendar</t>
  </si>
  <si>
    <t>MedInvest NYC (TODAY)</t>
  </si>
  <si>
    <t>MedInvest running today; JPM Napa April 7-9; ASCO abstracts Apr 21</t>
  </si>
  <si>
    <t>biopharmadive.com, asco.org</t>
  </si>
  <si>
    <t>Multi-Signal Cross-Reference</t>
  </si>
  <si>
    <t>VRDN (3 signals)</t>
  </si>
  <si>
    <t>VRDN: positive Ph3 + extreme selloff + analyst divergence = highest conviction watch</t>
  </si>
  <si>
    <t>Internal analysis</t>
  </si>
  <si>
    <t>TOTALS</t>
  </si>
  <si>
    <t>TODAY'S TOP 3 PRIORITY ALERTS</t>
  </si>
  <si>
    <t>PRIORITY</t>
  </si>
  <si>
    <t>TICKER</t>
  </si>
  <si>
    <t>SITUATION</t>
  </si>
  <si>
    <t>ACTION NOTE</t>
  </si>
  <si>
    <t>#1 ALERT — HIGH</t>
  </si>
  <si>
    <t>APLS (Apellis)</t>
  </si>
  <si>
    <t>M&amp;A — Being acquired by Biogen at $41/sh (~100% premium). Stock +140% today. Confirmed deal.</t>
  </si>
  <si>
    <t>StockTwits #1 trending. Already at deal price. Track deal close risk only.</t>
  </si>
  <si>
    <t>#2 ALERT — HIGH CONTRARIAN</t>
  </si>
  <si>
    <t>VRDN (Viridian)</t>
  </si>
  <si>
    <t>Positive Phase 3 REVEAL-1 in TED, but stock -38%. Analyst PT range $20-$44 vs. ~$17 price.</t>
  </si>
  <si>
    <t>REVEAL-2 readout Q2 2026. High risk but large potential disconnect if competitive concerns overblown.</t>
  </si>
  <si>
    <t>#3 ALERT — HIGH AVOID</t>
  </si>
  <si>
    <t>IOBT (IO Biotech)</t>
  </si>
  <si>
    <t>Chapter 7 bankruptcy filed March 31, 2026. All shares expected worthless.</t>
  </si>
  <si>
    <t>Do NOT buy. Company ceasing all operations. CEO/CFO terminated. Stock ~$0.046.</t>
  </si>
  <si>
    <t>DISCLAIMER: This report is for informational purposes only. Not investment advice. Always do your own due diligence before trading.</t>
  </si>
  <si>
    <t>UNUSUAL VOLUME &amp; PRICE MOVERS — March 31, 2026</t>
  </si>
  <si>
    <t>COMPANY</t>
  </si>
  <si>
    <t>PRICE (Est.)</t>
  </si>
  <si>
    <t>% CHANGE</t>
  </si>
  <si>
    <t>VOL SIGNAL</t>
  </si>
  <si>
    <t>MKT CAP</t>
  </si>
  <si>
    <t>SIGNAL LEVEL</t>
  </si>
  <si>
    <t>CATALYST SUMMARY</t>
  </si>
  <si>
    <t>SOURCE</t>
  </si>
  <si>
    <t>APLS</t>
  </si>
  <si>
    <t>Apellis Pharmaceuticals</t>
  </si>
  <si>
    <t>$41.00 (acq. price)</t>
  </si>
  <si>
    <t>+140%</t>
  </si>
  <si>
    <t>EXTREME (&gt;10x)</t>
  </si>
  <si>
    <t>~$5.6B</t>
  </si>
  <si>
    <t>HIGH</t>
  </si>
  <si>
    <t>Biogen acquisition at $41/sh confirmed 3/31/26. ~100% premium. Deal expected Q2 2026 close.</t>
  </si>
  <si>
    <t>STAT News, Biogen PR, CNBC</t>
  </si>
  <si>
    <t>VRDN</t>
  </si>
  <si>
    <t>Viridian Therapeutics</t>
  </si>
  <si>
    <t>~$16.91</t>
  </si>
  <si>
    <t>-31% to -38%</t>
  </si>
  <si>
    <t>EXTREME</t>
  </si>
  <si>
    <t>~$800M</t>
  </si>
  <si>
    <t>HIGH - CONTRARIAN</t>
  </si>
  <si>
    <t>Positive Phase 3 REVEAL-1 in active TED. Stock crashed on competitive concerns vs. Tepezza. Wedbush PT $37.</t>
  </si>
  <si>
    <t>Benzinga, BusinessWire, MarketBeat</t>
  </si>
  <si>
    <t>IOBT</t>
  </si>
  <si>
    <t>IO Biotech, Inc.</t>
  </si>
  <si>
    <t>~$0.046</t>
  </si>
  <si>
    <t>-73%</t>
  </si>
  <si>
    <t>&lt;$1M</t>
  </si>
  <si>
    <t>HIGH - AVOID</t>
  </si>
  <si>
    <t>Chapter 7 bankruptcy. All operations ceased. All employees terminated. Shares expected worthless.</t>
  </si>
  <si>
    <t>StockTitan 8-K, FierceBiotech, TipRanks</t>
  </si>
  <si>
    <t>MAZE</t>
  </si>
  <si>
    <t>Maze Therapeutics</t>
  </si>
  <si>
    <t>N/A (private-like)</t>
  </si>
  <si>
    <t>+9%</t>
  </si>
  <si>
    <t>High (est. &gt;2x)</t>
  </si>
  <si>
    <t>&lt;$1B</t>
  </si>
  <si>
    <t>MEDIUM</t>
  </si>
  <si>
    <t>Positive Phase 2 HORIZON data for MZE829 in glycogen storage disease.</t>
  </si>
  <si>
    <t>DailyPolitical, BioPharma Dive</t>
  </si>
  <si>
    <t>TERN</t>
  </si>
  <si>
    <t>Terns Pharmaceuticals</t>
  </si>
  <si>
    <t>N/A</t>
  </si>
  <si>
    <t>+5%</t>
  </si>
  <si>
    <t>Elevated</t>
  </si>
  <si>
    <t>&lt;$500M</t>
  </si>
  <si>
    <t>Merck definitive agreement announced; acquisition at small premium.</t>
  </si>
  <si>
    <t>Search results / RTTNews</t>
  </si>
  <si>
    <t>AXSM</t>
  </si>
  <si>
    <t>Axsome Therapeutics</t>
  </si>
  <si>
    <t>+5.67%</t>
  </si>
  <si>
    <t>~$3B</t>
  </si>
  <si>
    <t>Positive price momentum; commercial CNS franchise (Auvelity, Sunosi). Zacks sector pick.</t>
  </si>
  <si>
    <t>MarketBeat, Zacks</t>
  </si>
  <si>
    <t>BNTX</t>
  </si>
  <si>
    <t>BioNTech SE</t>
  </si>
  <si>
    <t>+2.59%</t>
  </si>
  <si>
    <t>Normal-Elevated</t>
  </si>
  <si>
    <t>&gt;$20B (large-cap)</t>
  </si>
  <si>
    <t>LOW</t>
  </si>
  <si>
    <t>Positive price action; oncology pipeline progress. Large-cap, lower move significance.</t>
  </si>
  <si>
    <t>Search results</t>
  </si>
  <si>
    <t>VRTX</t>
  </si>
  <si>
    <t>Vertex Pharmaceuticals</t>
  </si>
  <si>
    <t>+8%</t>
  </si>
  <si>
    <t>&gt;$100B (large-cap)</t>
  </si>
  <si>
    <t>LOW-MEDIUM</t>
  </si>
  <si>
    <t>Unnamed Phase 3 candidate positive results announced. Large-cap, informational only.</t>
  </si>
  <si>
    <t>Motley Fool</t>
  </si>
  <si>
    <t>SEC FILING ALERTS — Insider Buying, 13D/G Filings &amp; 8-K Catalysts | March 2026</t>
  </si>
  <si>
    <t>FILING TYPE</t>
  </si>
  <si>
    <t>INSIDER / FILER</t>
  </si>
  <si>
    <t>TITLE / ROLE</t>
  </si>
  <si>
    <t>SHARES</t>
  </si>
  <si>
    <t>VALUE ($)</t>
  </si>
  <si>
    <t>DATE</t>
  </si>
  <si>
    <t>BULLISH/BEARISH</t>
  </si>
  <si>
    <t>IBIO</t>
  </si>
  <si>
    <t>iBio, Inc.</t>
  </si>
  <si>
    <t>Form 4 (Open-Market Buy)</t>
  </si>
  <si>
    <t>Marc Banjak</t>
  </si>
  <si>
    <t>Chief Legal Officer</t>
  </si>
  <si>
    <t>+13,934</t>
  </si>
  <si>
    <t>~$23,000</t>
  </si>
  <si>
    <t>3/26/2026</t>
  </si>
  <si>
    <t>BULLISH</t>
  </si>
  <si>
    <t>StockTitan / OpenInsider</t>
  </si>
  <si>
    <t>EDSA</t>
  </si>
  <si>
    <t>Edesa Biotech, Inc.</t>
  </si>
  <si>
    <t>Schedule 13D/A</t>
  </si>
  <si>
    <t>Nijhawan Group (Dr. Pardeep Nijhawan)</t>
  </si>
  <si>
    <t>Major Shareholder (19.99%)</t>
  </si>
  <si>
    <t>+50,571 (Feb)</t>
  </si>
  <si>
    <t>~$95,000</t>
  </si>
  <si>
    <t>13D/A Filed March 2026</t>
  </si>
  <si>
    <t>BULLISH (Activist)</t>
  </si>
  <si>
    <t>StockTitan SEC Filing</t>
  </si>
  <si>
    <t>BBIO</t>
  </si>
  <si>
    <t>BridgeBio Pharma</t>
  </si>
  <si>
    <t>Form 4 (10b5-1 Plan Sale)</t>
  </si>
  <si>
    <t>Neil Kumar (family trusts)</t>
  </si>
  <si>
    <t>CEO</t>
  </si>
  <si>
    <t>-80,000</t>
  </si>
  <si>
    <t>~$5,600,000</t>
  </si>
  <si>
    <t>3/12-13/2026</t>
  </si>
  <si>
    <t>NEUTRAL (pre-arranged)</t>
  </si>
  <si>
    <t>8-K (Material Event)</t>
  </si>
  <si>
    <t>Company</t>
  </si>
  <si>
    <t>3/30/2026</t>
  </si>
  <si>
    <t>POSITIVE CATALYST</t>
  </si>
  <si>
    <t>SEC EDGAR / BusinessWire</t>
  </si>
  <si>
    <t>8-K (Chapter 7 Bankruptcy)</t>
  </si>
  <si>
    <t>3/31/2026</t>
  </si>
  <si>
    <t>EXTREMELY BEARISH</t>
  </si>
  <si>
    <t>SEC EDGAR / StockTitan</t>
  </si>
  <si>
    <t>RCKT</t>
  </si>
  <si>
    <t>Rocket Pharma</t>
  </si>
  <si>
    <t>8-K (PDUFA Watch)</t>
  </si>
  <si>
    <t>~3/28/2026</t>
  </si>
  <si>
    <t>Watch for FDA decision</t>
  </si>
  <si>
    <t>BiopharmaWatch</t>
  </si>
  <si>
    <t>LNTH</t>
  </si>
  <si>
    <t>Lantheus Holdings</t>
  </si>
  <si>
    <t>8-K (FDA Approval)</t>
  </si>
  <si>
    <t>3/6/2026</t>
  </si>
  <si>
    <t>BULLISH (Approval)</t>
  </si>
  <si>
    <t>FDA &amp; CLINICAL CATALYSTS — PDUFA Dates, AdComs, Phase 3 Readouts | April 2026 Focus</t>
  </si>
  <si>
    <t>DRUG / CANDIDATE</t>
  </si>
  <si>
    <t>INDICATION</t>
  </si>
  <si>
    <t>CATALYST DATE</t>
  </si>
  <si>
    <t>CATALYST TYPE</t>
  </si>
  <si>
    <t>STATUS / NOTES</t>
  </si>
  <si>
    <t>DAYS AWAY</t>
  </si>
  <si>
    <t>Private</t>
  </si>
  <si>
    <t>Orca Bio</t>
  </si>
  <si>
    <t>Orca-T</t>
  </si>
  <si>
    <t>AML, ALL, MDS (hematologic malignancies)</t>
  </si>
  <si>
    <t>April 6, 2026</t>
  </si>
  <si>
    <t>PDUFA (Priority Review)</t>
  </si>
  <si>
    <t>BLA accepted; RMAT designation; Phase 3 hit primary endpoint (survival free from moderate-severe chronic GvHD). Private co. — sector read-through only.</t>
  </si>
  <si>
    <t>CatalystAlert, OncLive, CancerNetwork</t>
  </si>
  <si>
    <t>AZN</t>
  </si>
  <si>
    <t>AstraZeneca</t>
  </si>
  <si>
    <t>Camizestrant (oral SERD) + Truqap (capivasertib, AKT-i)</t>
  </si>
  <si>
    <t>Breast cancer (ER+)</t>
  </si>
  <si>
    <t>April 30, 2026</t>
  </si>
  <si>
    <t>FDA AdCom (ODAC)</t>
  </si>
  <si>
    <t>First FDA advisory committee meeting of 2026 (9-month drought ends). High-profile oncology review.</t>
  </si>
  <si>
    <t>FierceBiotech, FDA Tracker</t>
  </si>
  <si>
    <t>KRESLADI (marnetegragene autotemcel; RP-L201)</t>
  </si>
  <si>
    <t>LAD-I (Leukocyte Adhesion Deficiency)</t>
  </si>
  <si>
    <t>March 28, 2026</t>
  </si>
  <si>
    <t>PDUFA (BLA Resubmission)</t>
  </si>
  <si>
    <t>100% survival at 12 months in Ph1/2. Decision just past; check 8-K for outcome.</t>
  </si>
  <si>
    <t>BiopharmaWatch, CGTlive</t>
  </si>
  <si>
    <t>ALDX</t>
  </si>
  <si>
    <t>Aldeyra Therapeutics</t>
  </si>
  <si>
    <t>Reproxalap</t>
  </si>
  <si>
    <t>Dry Eye Disease (DED)</t>
  </si>
  <si>
    <t>March 16, 2026</t>
  </si>
  <si>
    <t>PDUFA (Extended)</t>
  </si>
  <si>
    <t>NDA extended; decision date passed. Await formal FDA response / 8-K.</t>
  </si>
  <si>
    <t>RYTM</t>
  </si>
  <si>
    <t>Rhythm Pharmaceuticals</t>
  </si>
  <si>
    <t>IMCIVREE (setmelanotide) sNDA</t>
  </si>
  <si>
    <t>Acquired Hypothalamic Obesity</t>
  </si>
  <si>
    <t>March 20, 2026</t>
  </si>
  <si>
    <t>PDUFA (sNDA Extended)</t>
  </si>
  <si>
    <t>Extension from Dec 20, 2025. Outcome pending; check SEC EDGAR.</t>
  </si>
  <si>
    <t>PYLARIFY TruVu (piflufolastat F 18)</t>
  </si>
  <si>
    <t>Prostate cancer PSMA imaging</t>
  </si>
  <si>
    <t>March 6, 2026</t>
  </si>
  <si>
    <t>FDA APPROVAL ✓</t>
  </si>
  <si>
    <t>APPROVED. New formulation of existing PSMA imaging agent approved March 6, 2026.</t>
  </si>
  <si>
    <t>BiopharmaWatch / StockTitan</t>
  </si>
  <si>
    <t>GSK</t>
  </si>
  <si>
    <t>GSK plc</t>
  </si>
  <si>
    <t>Lynavoy (linerixibat)</t>
  </si>
  <si>
    <t>Cholestatic pruritus / Primary Biliary Cholangitis</t>
  </si>
  <si>
    <t>March 19, 2026</t>
  </si>
  <si>
    <t>APPROVED March 19, 2026 for adult patients with primary biliary cholangitis.</t>
  </si>
  <si>
    <t>Multiple companies</t>
  </si>
  <si>
    <t>Various - ASCO 2026 Abstracts</t>
  </si>
  <si>
    <t>Multiple oncology indications</t>
  </si>
  <si>
    <t>April 21, 2026</t>
  </si>
  <si>
    <t>ABSTRACT TITLES Released</t>
  </si>
  <si>
    <t>139 total catalysts in April 2026. ASCO abstract titles drop April 21 — watch small-cap oncology biotechs for pre-release moves.</t>
  </si>
  <si>
    <t>ASCO.org, CatalystAlert</t>
  </si>
  <si>
    <t>Various - ASCO 2026 Full Abstracts</t>
  </si>
  <si>
    <t>May 21, 2026</t>
  </si>
  <si>
    <t>Full ABSTRACTS Released</t>
  </si>
  <si>
    <t>Historically high-volume day for oncology biotech moves. Build watchlist of companies with mature data.</t>
  </si>
  <si>
    <t>ASCO.org</t>
  </si>
  <si>
    <t>SOCIAL SENTIMENT &amp; RETAIL BUZZ — March 31, 2026</t>
  </si>
  <si>
    <t>PLATFORM(S)</t>
  </si>
  <si>
    <t>SENTIMENT</t>
  </si>
  <si>
    <t>MSG VOLUME</t>
  </si>
  <si>
    <t>KEY DRIVER</t>
  </si>
  <si>
    <t>StockTwits, Twitter/X, Reddit</t>
  </si>
  <si>
    <t>BULLISH (EXTREME)</t>
  </si>
  <si>
    <t>Very High — #1 trending</t>
  </si>
  <si>
    <t>Biogen acquisition at ~100% premium confirmed 3/31. Deal expected Q2 close.</t>
  </si>
  <si>
    <t>StockTwits, STAT News</t>
  </si>
  <si>
    <t>StockTwits, Seeking Alpha</t>
  </si>
  <si>
    <t>MIXED/CONFUSED</t>
  </si>
  <si>
    <t>High</t>
  </si>
  <si>
    <t>Positive Phase 3 but -38% drop. Retail debating contrarian vs. competitive risk.</t>
  </si>
  <si>
    <t>Benzinga, RTTNews, Seeking Alpha</t>
  </si>
  <si>
    <t>VKTX</t>
  </si>
  <si>
    <t>Viking Therapeutics</t>
  </si>
  <si>
    <t>Reddit, Twitter/X, Fintwit</t>
  </si>
  <si>
    <t>Medium-High</t>
  </si>
  <si>
    <t>Top analyst upside pick 2026 (196.65%). GLP-1 obesity + NASH dual pipeline.</t>
  </si>
  <si>
    <t>TipRanks, Yahoo Finance</t>
  </si>
  <si>
    <t>ADMA</t>
  </si>
  <si>
    <t>ADMA Biologics</t>
  </si>
  <si>
    <t>Reddit, Fintwit, Twitter/X</t>
  </si>
  <si>
    <t>Medium</t>
  </si>
  <si>
    <t>Asceniv record demand 2025. Revenue acceleration expected 2026. Momentum play.</t>
  </si>
  <si>
    <t>Yahoo Finance, Zacks</t>
  </si>
  <si>
    <t>CRNX</t>
  </si>
  <si>
    <t>Crinetics Pharmaceuticals</t>
  </si>
  <si>
    <t>Twitter/X, Fintwit</t>
  </si>
  <si>
    <t>Low-Medium</t>
  </si>
  <si>
    <t>Analyst upside potential ~105%. Acromegaly/pituitary tumors pipeline.</t>
  </si>
  <si>
    <t>TipRanks</t>
  </si>
  <si>
    <t>LQDA</t>
  </si>
  <si>
    <t>Liquidia Corporation</t>
  </si>
  <si>
    <t>YUTREPIA (PAH) commercial traction. Sector outperformer per Zacks.</t>
  </si>
  <si>
    <t>Zacks, Yahoo Finance</t>
  </si>
  <si>
    <t>ANIP</t>
  </si>
  <si>
    <t>ANI Pharmaceuticals</t>
  </si>
  <si>
    <t>Twitter/X</t>
  </si>
  <si>
    <t>Low</t>
  </si>
  <si>
    <t>Specialty pharma profitable; branded + generic portfolio. Cited outperformer.</t>
  </si>
  <si>
    <t>WSB/Reddit (general)</t>
  </si>
  <si>
    <t>Broad Market</t>
  </si>
  <si>
    <t>WallStreetBets, Reddit</t>
  </si>
  <si>
    <t>TECH/SPACE FOCUSED</t>
  </si>
  <si>
    <t>Low for biotech</t>
  </si>
  <si>
    <t>WSB 2026 top picks: AMZN, RKLB, ASTS, RDDT. Biotech NOT a primary WSB focus in March 2026.</t>
  </si>
  <si>
    <t>Finbold, Finviz, AltIndex</t>
  </si>
  <si>
    <t>UPCOMING BIOTECH CONFERENCE CALENDAR — April 2026 + Key Dates</t>
  </si>
  <si>
    <t>CONFERENCE</t>
  </si>
  <si>
    <t>DATE(S)</t>
  </si>
  <si>
    <t>LOCATION</t>
  </si>
  <si>
    <t>TYPE</t>
  </si>
  <si>
    <t>FOCUS AREA</t>
  </si>
  <si>
    <t>NOTABLE</t>
  </si>
  <si>
    <t>MedInvest Biotech &amp; Pharma Investor Conference</t>
  </si>
  <si>
    <t>March 31 – April 1, 2026</t>
  </si>
  <si>
    <t>New York City, NY</t>
  </si>
  <si>
    <t>Investor Conference</t>
  </si>
  <si>
    <t>Biotech/Pharma Broad</t>
  </si>
  <si>
    <t>RUNNING TODAY. In-person + virtual company presentations and panels.</t>
  </si>
  <si>
    <t>medinvestconferences.com</t>
  </si>
  <si>
    <t>J.P. Morgan Napa Valley Biotech Forum (15th Annual)</t>
  </si>
  <si>
    <t>April 7-9, 2026</t>
  </si>
  <si>
    <t>San Francisco, CA</t>
  </si>
  <si>
    <t>Biotech/Biopharma</t>
  </si>
  <si>
    <t>Major institutional forum. Management access. Announcements possible.</t>
  </si>
  <si>
    <t>gilmartinir.com/icrinc.com</t>
  </si>
  <si>
    <t>Van Lanschot Kempen Life Sciences Conference</t>
  </si>
  <si>
    <t>Amsterdam, Netherlands</t>
  </si>
  <si>
    <t>European Life Sciences</t>
  </si>
  <si>
    <t>International investor focus; European biotech presentations.</t>
  </si>
  <si>
    <t>icrinc.com</t>
  </si>
  <si>
    <t>Biosimilar Medicines Conference 2026</t>
  </si>
  <si>
    <t>April 7, 2026</t>
  </si>
  <si>
    <t>Specialty Conference</t>
  </si>
  <si>
    <t>Biosimilars</t>
  </si>
  <si>
    <t>Biosimilar development, regulation &amp; market access.</t>
  </si>
  <si>
    <t>wewillcure.com</t>
  </si>
  <si>
    <t>Piper Sandler Spring Biopharma Symposium</t>
  </si>
  <si>
    <t>April 15-16, 2026</t>
  </si>
  <si>
    <t>Boston, MA</t>
  </si>
  <si>
    <t>Small/Mid-Cap Biopharma</t>
  </si>
  <si>
    <t>Analyst-led 1x1s. Small/mid-cap focus — high relevance for Ann's targets.</t>
  </si>
  <si>
    <t>ASCO 2026 — Abstract Titles Released</t>
  </si>
  <si>
    <t>Online (Pre-Conference)</t>
  </si>
  <si>
    <t>Conference Pre-Release</t>
  </si>
  <si>
    <t>Oncology</t>
  </si>
  <si>
    <t>Abstract titles only released. Watch for title drops as early movers in cancer biotech.</t>
  </si>
  <si>
    <t>asco.org</t>
  </si>
  <si>
    <t>CITI Biotech Innovation Forum</t>
  </si>
  <si>
    <t>April 21-22, 2026</t>
  </si>
  <si>
    <t>Biotech Innovation</t>
  </si>
  <si>
    <t>Institutional investor meetings; company presentations.</t>
  </si>
  <si>
    <t>German Biotech Days 2026 (DBT)</t>
  </si>
  <si>
    <t>Leipzig, Germany</t>
  </si>
  <si>
    <t>Industry Conference</t>
  </si>
  <si>
    <t>German Biotech Industry</t>
  </si>
  <si>
    <t>Germany's largest biotech event; national forum.</t>
  </si>
  <si>
    <t>biopharmadive.com</t>
  </si>
  <si>
    <t>ChinaBio Partnering Forum</t>
  </si>
  <si>
    <t>April 28-29, 2026 (+ May 6-7)</t>
  </si>
  <si>
    <t>Hybrid</t>
  </si>
  <si>
    <t>Partnering Forum</t>
  </si>
  <si>
    <t>China/Global Biotech</t>
  </si>
  <si>
    <t>Global pharma/biotech partnering; licensing; China-focused.</t>
  </si>
  <si>
    <t>vendelux.com/biopharmadive.com</t>
  </si>
  <si>
    <t>BioPharma &amp; Healthcare Summit 2026</t>
  </si>
  <si>
    <t>The Newbury Boston, MA</t>
  </si>
  <si>
    <t>Industry Summit</t>
  </si>
  <si>
    <t>Biopharma Strategy</t>
  </si>
  <si>
    <t>Leadership summit; strategy and market direction.</t>
  </si>
  <si>
    <t>FDA ODAC Meeting — AZ Camizestrant + Truqap</t>
  </si>
  <si>
    <t>FDA Headquarters (Silver Spring, MD)</t>
  </si>
  <si>
    <t>FDA Advisory Committee</t>
  </si>
  <si>
    <t>Breast Oncology (ER+)</t>
  </si>
  <si>
    <t>First FDA AdCom of 2026. Ends 9-month drought. AstraZeneca oral SERD review.</t>
  </si>
  <si>
    <t>FierceBiotech</t>
  </si>
  <si>
    <t>ASCO 2026 — Full Abstracts Released</t>
  </si>
  <si>
    <t>Oncology — All Types</t>
  </si>
  <si>
    <t>Historically highest-volume oncology catalyst day. Build watchlists NOW.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</si>
</sst>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i/>
      <sz val="11"/>
      <color rgb="FF1F3864"/>
      <name val="Arial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b/>
      <sz val="10"/>
      <color rgb="FFC00000"/>
      <name val="Arial"/>
      <charset val="1"/>
    </font>
    <font>
      <b/>
      <sz val="10"/>
      <color rgb="FFFF8C00"/>
      <name val="Arial"/>
      <charset val="1"/>
    </font>
    <font>
      <sz val="10"/>
      <color rgb="FF000000"/>
      <name val="Arial"/>
      <charset val="1"/>
    </font>
    <font>
      <b/>
      <sz val="10"/>
      <color rgb="FF595959"/>
      <name val="Arial"/>
      <charset val="1"/>
    </font>
    <font>
      <b/>
      <sz val="11"/>
      <color rgb="FFFFFFFF"/>
      <name val="Arial"/>
      <charset val="1"/>
    </font>
    <font>
      <i/>
      <sz val="9"/>
      <color rgb="FF595959"/>
      <name val="Arial"/>
      <charset val="1"/>
    </font>
    <font>
      <b/>
      <sz val="14"/>
      <color rgb="FFFFFFFF"/>
      <name val="Arial"/>
      <charset val="1"/>
    </font>
    <font>
      <b/>
      <sz val="10"/>
      <color rgb="FF00703C"/>
      <name val="Arial"/>
      <charset val="1"/>
    </font>
    <font>
      <i/>
      <sz val="10"/>
      <color rgb="FF595959"/>
      <name val="Arial"/>
      <charset val="1"/>
    </font>
    <font>
      <sz val="10"/>
      <color rgb="FF595959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5E8F0"/>
        <bgColor rgb="FFD4EDDA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C00000"/>
        <bgColor rgb="FF800000"/>
      </patternFill>
    </fill>
    <fill>
      <patternFill patternType="solid">
        <fgColor rgb="FF595959"/>
        <bgColor rgb="FF333333"/>
      </patternFill>
    </fill>
    <fill>
      <patternFill patternType="solid">
        <fgColor rgb="FFFFD7D7"/>
        <bgColor rgb="FFFFE8CC"/>
      </patternFill>
    </fill>
    <fill>
      <patternFill patternType="solid">
        <fgColor rgb="FFFFE8CC"/>
        <bgColor rgb="FFFFF2CC"/>
      </patternFill>
    </fill>
    <fill>
      <patternFill patternType="solid">
        <fgColor rgb="FFD4EDDA"/>
        <bgColor rgb="FFD5E8F0"/>
      </patternFill>
    </fill>
    <fill>
      <patternFill patternType="solid">
        <fgColor rgb="FFFFF2CC"/>
        <bgColor rgb="FFFFE8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2" fillId="2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left"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15" fillId="1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703C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D5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4EDDA"/>
      <rgbColor rgb="FFFFE8CC"/>
      <rgbColor rgb="FF99CCFF"/>
      <rgbColor rgb="FFFF99CC"/>
      <rgbColor rgb="FFCC99FF"/>
      <rgbColor rgb="FFFFD7D7"/>
      <rgbColor rgb="FF2E75B6"/>
      <rgbColor rgb="FF33CCCC"/>
      <rgbColor rgb="FF99CC00"/>
      <rgbColor rgb="FFFFCC00"/>
      <rgbColor rgb="FFFF8C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showGridLines="0" topLeftCell="A17" zoomScaleNormal="100" workbookViewId="0">
      <selection sqref="A1:H1"/>
    </sheetView>
  </sheetViews>
  <sheetFormatPr defaultColWidth="8.6640625" defaultRowHeight="14.4" x14ac:dyDescent="0.3"/>
  <cols>
    <col min="1" max="1" width="22" customWidth="1"/>
    <col min="2" max="2" width="12" customWidth="1"/>
    <col min="3" max="3" width="25.109375" customWidth="1"/>
    <col min="4" max="4" width="12" customWidth="1"/>
    <col min="5" max="5" width="20" customWidth="1"/>
    <col min="6" max="6" width="45" customWidth="1"/>
    <col min="7" max="7" width="22" customWidth="1"/>
  </cols>
  <sheetData>
    <row r="1" spans="1:8" ht="45" customHeight="1" x14ac:dyDescent="0.3">
      <c r="A1" s="6" t="s">
        <v>0</v>
      </c>
      <c r="B1" s="6"/>
      <c r="C1" s="6"/>
      <c r="D1" s="6"/>
      <c r="E1" s="6"/>
      <c r="F1" s="6"/>
      <c r="G1" s="6"/>
      <c r="H1" s="6"/>
    </row>
    <row r="2" spans="1:8" x14ac:dyDescent="0.3">
      <c r="A2" s="5" t="s">
        <v>1</v>
      </c>
      <c r="B2" s="5"/>
      <c r="C2" s="5"/>
      <c r="D2" s="5"/>
      <c r="E2" s="5"/>
      <c r="F2" s="5"/>
      <c r="G2" s="5"/>
      <c r="H2" s="5"/>
    </row>
    <row r="3" spans="1:8" ht="9.75" customHeight="1" x14ac:dyDescent="0.3"/>
    <row r="4" spans="1:8" ht="15.6" x14ac:dyDescent="0.3">
      <c r="A4" s="4" t="s">
        <v>2</v>
      </c>
      <c r="B4" s="4"/>
      <c r="C4" s="4"/>
      <c r="D4" s="4"/>
      <c r="E4" s="4"/>
      <c r="F4" s="4"/>
      <c r="G4" s="4"/>
      <c r="H4" s="4"/>
    </row>
    <row r="5" spans="1:8" x14ac:dyDescent="0.3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</row>
    <row r="6" spans="1:8" ht="34.5" customHeight="1" x14ac:dyDescent="0.3">
      <c r="A6" s="8" t="s">
        <v>10</v>
      </c>
      <c r="B6" s="9">
        <v>2</v>
      </c>
      <c r="C6" s="10">
        <v>2</v>
      </c>
      <c r="D6" s="11">
        <v>4</v>
      </c>
      <c r="E6" s="11" t="s">
        <v>11</v>
      </c>
      <c r="F6" s="11" t="s">
        <v>12</v>
      </c>
      <c r="G6" s="11" t="s">
        <v>13</v>
      </c>
    </row>
    <row r="7" spans="1:8" ht="34.5" customHeight="1" x14ac:dyDescent="0.3">
      <c r="A7" s="12" t="s">
        <v>14</v>
      </c>
      <c r="B7" s="13">
        <v>0</v>
      </c>
      <c r="C7" s="14">
        <v>2</v>
      </c>
      <c r="D7" s="15">
        <v>2</v>
      </c>
      <c r="E7" s="15" t="s">
        <v>15</v>
      </c>
      <c r="F7" s="15" t="s">
        <v>16</v>
      </c>
      <c r="G7" s="15" t="s">
        <v>17</v>
      </c>
    </row>
    <row r="8" spans="1:8" ht="34.5" customHeight="1" x14ac:dyDescent="0.3">
      <c r="A8" s="8" t="s">
        <v>18</v>
      </c>
      <c r="B8" s="9">
        <v>1</v>
      </c>
      <c r="C8" s="10">
        <v>2</v>
      </c>
      <c r="D8" s="11">
        <v>3</v>
      </c>
      <c r="E8" s="11" t="s">
        <v>19</v>
      </c>
      <c r="F8" s="11" t="s">
        <v>20</v>
      </c>
      <c r="G8" s="11" t="s">
        <v>21</v>
      </c>
    </row>
    <row r="9" spans="1:8" ht="34.5" customHeight="1" x14ac:dyDescent="0.3">
      <c r="A9" s="12" t="s">
        <v>22</v>
      </c>
      <c r="B9" s="16">
        <v>1</v>
      </c>
      <c r="C9" s="14">
        <v>3</v>
      </c>
      <c r="D9" s="15">
        <v>4</v>
      </c>
      <c r="E9" s="15" t="s">
        <v>23</v>
      </c>
      <c r="F9" s="15" t="s">
        <v>24</v>
      </c>
      <c r="G9" s="15" t="s">
        <v>25</v>
      </c>
    </row>
    <row r="10" spans="1:8" ht="34.5" customHeight="1" x14ac:dyDescent="0.3">
      <c r="A10" s="8" t="s">
        <v>26</v>
      </c>
      <c r="B10" s="17">
        <v>0</v>
      </c>
      <c r="C10" s="10">
        <v>1</v>
      </c>
      <c r="D10" s="11">
        <v>1</v>
      </c>
      <c r="E10" s="11" t="s">
        <v>27</v>
      </c>
      <c r="F10" s="11" t="s">
        <v>28</v>
      </c>
      <c r="G10" s="11" t="s">
        <v>29</v>
      </c>
    </row>
    <row r="11" spans="1:8" ht="34.5" customHeight="1" x14ac:dyDescent="0.3">
      <c r="A11" s="12" t="s">
        <v>30</v>
      </c>
      <c r="B11" s="13">
        <v>0</v>
      </c>
      <c r="C11" s="14">
        <v>1</v>
      </c>
      <c r="D11" s="15">
        <v>1</v>
      </c>
      <c r="E11" s="15" t="s">
        <v>31</v>
      </c>
      <c r="F11" s="15" t="s">
        <v>32</v>
      </c>
      <c r="G11" s="15" t="s">
        <v>33</v>
      </c>
    </row>
    <row r="12" spans="1:8" ht="30" customHeight="1" x14ac:dyDescent="0.3">
      <c r="A12" s="7" t="s">
        <v>34</v>
      </c>
      <c r="B12" s="18">
        <f>SUM(B6:B11)</f>
        <v>4</v>
      </c>
      <c r="C12" s="18">
        <f>SUM(C6:C11)</f>
        <v>11</v>
      </c>
      <c r="D12" s="18">
        <f>SUM(D6:D11)</f>
        <v>15</v>
      </c>
    </row>
    <row r="14" spans="1:8" ht="15.6" x14ac:dyDescent="0.3">
      <c r="A14" s="3" t="s">
        <v>35</v>
      </c>
      <c r="B14" s="3"/>
      <c r="C14" s="3"/>
      <c r="D14" s="3"/>
      <c r="E14" s="3"/>
      <c r="F14" s="3"/>
      <c r="G14" s="3"/>
      <c r="H14" s="3"/>
    </row>
    <row r="15" spans="1:8" x14ac:dyDescent="0.3">
      <c r="A15" s="19" t="s">
        <v>36</v>
      </c>
      <c r="B15" s="19" t="s">
        <v>37</v>
      </c>
      <c r="C15" s="19" t="s">
        <v>38</v>
      </c>
      <c r="D15" s="19" t="s">
        <v>39</v>
      </c>
    </row>
    <row r="16" spans="1:8" ht="49.5" customHeight="1" x14ac:dyDescent="0.3">
      <c r="A16" s="20" t="s">
        <v>40</v>
      </c>
      <c r="B16" s="20" t="s">
        <v>41</v>
      </c>
      <c r="C16" s="21" t="s">
        <v>42</v>
      </c>
      <c r="D16" s="21" t="s">
        <v>43</v>
      </c>
    </row>
    <row r="17" spans="1:8" ht="49.5" customHeight="1" x14ac:dyDescent="0.3">
      <c r="A17" s="22" t="s">
        <v>44</v>
      </c>
      <c r="B17" s="22" t="s">
        <v>45</v>
      </c>
      <c r="C17" s="23" t="s">
        <v>46</v>
      </c>
      <c r="D17" s="23" t="s">
        <v>47</v>
      </c>
    </row>
    <row r="18" spans="1:8" ht="49.5" customHeight="1" x14ac:dyDescent="0.3">
      <c r="A18" s="20" t="s">
        <v>48</v>
      </c>
      <c r="B18" s="20" t="s">
        <v>49</v>
      </c>
      <c r="C18" s="21" t="s">
        <v>50</v>
      </c>
      <c r="D18" s="21" t="s">
        <v>51</v>
      </c>
    </row>
    <row r="20" spans="1:8" x14ac:dyDescent="0.3">
      <c r="A20" s="2" t="s">
        <v>52</v>
      </c>
      <c r="B20" s="2"/>
      <c r="C20" s="2"/>
      <c r="D20" s="2"/>
      <c r="E20" s="2"/>
      <c r="F20" s="2"/>
      <c r="G20" s="2"/>
      <c r="H20" s="2"/>
    </row>
  </sheetData>
  <mergeCells count="5">
    <mergeCell ref="A1:H1"/>
    <mergeCell ref="A2:H2"/>
    <mergeCell ref="A4:H4"/>
    <mergeCell ref="A14:H14"/>
    <mergeCell ref="A20:H2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"/>
  <sheetViews>
    <sheetView showGridLines="0" zoomScaleNormal="100" workbookViewId="0">
      <pane ySplit="2" topLeftCell="A9" activePane="bottomLeft" state="frozen"/>
      <selection pane="bottomLeft" sqref="A1:I1"/>
    </sheetView>
  </sheetViews>
  <sheetFormatPr defaultColWidth="8.6640625" defaultRowHeight="14.4" x14ac:dyDescent="0.3"/>
  <cols>
    <col min="1" max="1" width="8" customWidth="1"/>
    <col min="2" max="2" width="22" customWidth="1"/>
    <col min="3" max="3" width="14" customWidth="1"/>
    <col min="4" max="4" width="12" customWidth="1"/>
    <col min="5" max="5" width="18" customWidth="1"/>
    <col min="6" max="6" width="14" customWidth="1"/>
    <col min="7" max="7" width="20" customWidth="1"/>
    <col min="8" max="8" width="50" customWidth="1"/>
    <col min="9" max="9" width="30" customWidth="1"/>
  </cols>
  <sheetData>
    <row r="1" spans="1:9" ht="39.75" customHeight="1" x14ac:dyDescent="0.3">
      <c r="A1" s="1" t="s">
        <v>53</v>
      </c>
      <c r="B1" s="1"/>
      <c r="C1" s="1"/>
      <c r="D1" s="1"/>
      <c r="E1" s="1"/>
      <c r="F1" s="1"/>
      <c r="G1" s="1"/>
      <c r="H1" s="1"/>
      <c r="I1" s="1"/>
    </row>
    <row r="2" spans="1:9" ht="27.6" x14ac:dyDescent="0.3">
      <c r="A2" s="24" t="s">
        <v>37</v>
      </c>
      <c r="B2" s="24" t="s">
        <v>54</v>
      </c>
      <c r="C2" s="24" t="s">
        <v>55</v>
      </c>
      <c r="D2" s="24" t="s">
        <v>56</v>
      </c>
      <c r="E2" s="24" t="s">
        <v>57</v>
      </c>
      <c r="F2" s="24" t="s">
        <v>58</v>
      </c>
      <c r="G2" s="24" t="s">
        <v>59</v>
      </c>
      <c r="H2" s="24" t="s">
        <v>60</v>
      </c>
      <c r="I2" s="24" t="s">
        <v>61</v>
      </c>
    </row>
    <row r="3" spans="1:9" ht="39.75" customHeight="1" x14ac:dyDescent="0.3">
      <c r="A3" s="15" t="s">
        <v>62</v>
      </c>
      <c r="B3" s="15" t="s">
        <v>63</v>
      </c>
      <c r="C3" s="15" t="s">
        <v>64</v>
      </c>
      <c r="D3" s="25" t="s">
        <v>65</v>
      </c>
      <c r="E3" s="15" t="s">
        <v>66</v>
      </c>
      <c r="F3" s="15" t="s">
        <v>67</v>
      </c>
      <c r="G3" s="26" t="s">
        <v>68</v>
      </c>
      <c r="H3" s="15" t="s">
        <v>69</v>
      </c>
      <c r="I3" s="15" t="s">
        <v>70</v>
      </c>
    </row>
    <row r="4" spans="1:9" ht="39.75" customHeight="1" x14ac:dyDescent="0.3">
      <c r="A4" s="11" t="s">
        <v>71</v>
      </c>
      <c r="B4" s="11" t="s">
        <v>72</v>
      </c>
      <c r="C4" s="11" t="s">
        <v>73</v>
      </c>
      <c r="D4" s="26" t="s">
        <v>74</v>
      </c>
      <c r="E4" s="11" t="s">
        <v>75</v>
      </c>
      <c r="F4" s="11" t="s">
        <v>76</v>
      </c>
      <c r="G4" s="27" t="s">
        <v>77</v>
      </c>
      <c r="H4" s="11" t="s">
        <v>78</v>
      </c>
      <c r="I4" s="11" t="s">
        <v>79</v>
      </c>
    </row>
    <row r="5" spans="1:9" ht="39.75" customHeight="1" x14ac:dyDescent="0.3">
      <c r="A5" s="15" t="s">
        <v>80</v>
      </c>
      <c r="B5" s="15" t="s">
        <v>81</v>
      </c>
      <c r="C5" s="15" t="s">
        <v>82</v>
      </c>
      <c r="D5" s="26" t="s">
        <v>83</v>
      </c>
      <c r="E5" s="15" t="s">
        <v>75</v>
      </c>
      <c r="F5" s="15" t="s">
        <v>84</v>
      </c>
      <c r="G5" s="26" t="s">
        <v>85</v>
      </c>
      <c r="H5" s="15" t="s">
        <v>86</v>
      </c>
      <c r="I5" s="15" t="s">
        <v>87</v>
      </c>
    </row>
    <row r="6" spans="1:9" ht="39.75" customHeight="1" x14ac:dyDescent="0.3">
      <c r="A6" s="11" t="s">
        <v>88</v>
      </c>
      <c r="B6" s="11" t="s">
        <v>89</v>
      </c>
      <c r="C6" s="11" t="s">
        <v>90</v>
      </c>
      <c r="D6" s="25" t="s">
        <v>91</v>
      </c>
      <c r="E6" s="11" t="s">
        <v>92</v>
      </c>
      <c r="F6" s="11" t="s">
        <v>93</v>
      </c>
      <c r="G6" s="27" t="s">
        <v>94</v>
      </c>
      <c r="H6" s="11" t="s">
        <v>95</v>
      </c>
      <c r="I6" s="11" t="s">
        <v>96</v>
      </c>
    </row>
    <row r="7" spans="1:9" ht="39.75" customHeight="1" x14ac:dyDescent="0.3">
      <c r="A7" s="15" t="s">
        <v>97</v>
      </c>
      <c r="B7" s="15" t="s">
        <v>98</v>
      </c>
      <c r="C7" s="15" t="s">
        <v>99</v>
      </c>
      <c r="D7" s="25" t="s">
        <v>100</v>
      </c>
      <c r="E7" s="15" t="s">
        <v>101</v>
      </c>
      <c r="F7" s="15" t="s">
        <v>102</v>
      </c>
      <c r="G7" s="27" t="s">
        <v>94</v>
      </c>
      <c r="H7" s="15" t="s">
        <v>103</v>
      </c>
      <c r="I7" s="15" t="s">
        <v>104</v>
      </c>
    </row>
    <row r="8" spans="1:9" ht="39.75" customHeight="1" x14ac:dyDescent="0.3">
      <c r="A8" s="11" t="s">
        <v>105</v>
      </c>
      <c r="B8" s="11" t="s">
        <v>106</v>
      </c>
      <c r="C8" s="11" t="s">
        <v>99</v>
      </c>
      <c r="D8" s="25" t="s">
        <v>107</v>
      </c>
      <c r="E8" s="11" t="s">
        <v>101</v>
      </c>
      <c r="F8" s="11" t="s">
        <v>108</v>
      </c>
      <c r="G8" s="27" t="s">
        <v>94</v>
      </c>
      <c r="H8" s="11" t="s">
        <v>109</v>
      </c>
      <c r="I8" s="11" t="s">
        <v>110</v>
      </c>
    </row>
    <row r="9" spans="1:9" ht="39.75" customHeight="1" x14ac:dyDescent="0.3">
      <c r="A9" s="15" t="s">
        <v>111</v>
      </c>
      <c r="B9" s="15" t="s">
        <v>112</v>
      </c>
      <c r="C9" s="15" t="s">
        <v>99</v>
      </c>
      <c r="D9" s="25" t="s">
        <v>113</v>
      </c>
      <c r="E9" s="15" t="s">
        <v>114</v>
      </c>
      <c r="F9" s="15" t="s">
        <v>115</v>
      </c>
      <c r="G9" s="11" t="s">
        <v>116</v>
      </c>
      <c r="H9" s="15" t="s">
        <v>117</v>
      </c>
      <c r="I9" s="15" t="s">
        <v>118</v>
      </c>
    </row>
    <row r="10" spans="1:9" ht="39.75" customHeight="1" x14ac:dyDescent="0.3">
      <c r="A10" s="11" t="s">
        <v>119</v>
      </c>
      <c r="B10" s="11" t="s">
        <v>120</v>
      </c>
      <c r="C10" s="11" t="s">
        <v>99</v>
      </c>
      <c r="D10" s="25" t="s">
        <v>121</v>
      </c>
      <c r="E10" s="11" t="s">
        <v>101</v>
      </c>
      <c r="F10" s="11" t="s">
        <v>122</v>
      </c>
      <c r="G10" s="27" t="s">
        <v>123</v>
      </c>
      <c r="H10" s="11" t="s">
        <v>124</v>
      </c>
      <c r="I10" s="11" t="s">
        <v>125</v>
      </c>
    </row>
  </sheetData>
  <autoFilter ref="A2:I2" xr:uid="{00000000-0009-0000-0000-000001000000}"/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"/>
  <sheetViews>
    <sheetView showGridLines="0" zoomScaleNormal="100" workbookViewId="0">
      <pane ySplit="2" topLeftCell="A3" activePane="bottomLeft" state="frozen"/>
      <selection pane="bottomLeft"/>
    </sheetView>
  </sheetViews>
  <sheetFormatPr defaultColWidth="8.6640625" defaultRowHeight="14.4" x14ac:dyDescent="0.3"/>
  <cols>
    <col min="1" max="1" width="8" customWidth="1"/>
    <col min="2" max="3" width="22" customWidth="1"/>
    <col min="4" max="4" width="28" customWidth="1"/>
    <col min="5" max="5" width="22" customWidth="1"/>
    <col min="6" max="6" width="14" customWidth="1"/>
    <col min="7" max="7" width="12" customWidth="1"/>
    <col min="8" max="8" width="14" customWidth="1"/>
    <col min="9" max="9" width="20" customWidth="1"/>
    <col min="10" max="10" width="28" customWidth="1"/>
  </cols>
  <sheetData>
    <row r="1" spans="1:10" ht="39.75" customHeight="1" x14ac:dyDescent="0.3">
      <c r="A1" s="1" t="s">
        <v>126</v>
      </c>
      <c r="B1" s="1"/>
      <c r="C1" s="1"/>
      <c r="D1" s="1"/>
      <c r="E1" s="1"/>
      <c r="F1" s="1"/>
      <c r="G1" s="1"/>
      <c r="H1" s="1"/>
      <c r="I1" s="1"/>
      <c r="J1" s="1"/>
    </row>
    <row r="2" spans="1:10" ht="27.6" x14ac:dyDescent="0.3">
      <c r="A2" s="24" t="s">
        <v>37</v>
      </c>
      <c r="B2" s="24" t="s">
        <v>54</v>
      </c>
      <c r="C2" s="24" t="s">
        <v>127</v>
      </c>
      <c r="D2" s="24" t="s">
        <v>128</v>
      </c>
      <c r="E2" s="24" t="s">
        <v>129</v>
      </c>
      <c r="F2" s="24" t="s">
        <v>130</v>
      </c>
      <c r="G2" s="24" t="s">
        <v>131</v>
      </c>
      <c r="H2" s="24" t="s">
        <v>132</v>
      </c>
      <c r="I2" s="24" t="s">
        <v>133</v>
      </c>
      <c r="J2" s="24" t="s">
        <v>61</v>
      </c>
    </row>
    <row r="3" spans="1:10" ht="39.75" customHeight="1" x14ac:dyDescent="0.3">
      <c r="A3" s="15" t="s">
        <v>134</v>
      </c>
      <c r="B3" s="15" t="s">
        <v>135</v>
      </c>
      <c r="C3" s="15" t="s">
        <v>136</v>
      </c>
      <c r="D3" s="15" t="s">
        <v>137</v>
      </c>
      <c r="E3" s="15" t="s">
        <v>138</v>
      </c>
      <c r="F3" s="15" t="s">
        <v>139</v>
      </c>
      <c r="G3" s="15" t="s">
        <v>140</v>
      </c>
      <c r="H3" s="15" t="s">
        <v>141</v>
      </c>
      <c r="I3" s="25" t="s">
        <v>142</v>
      </c>
      <c r="J3" s="15" t="s">
        <v>143</v>
      </c>
    </row>
    <row r="4" spans="1:10" ht="39.75" customHeight="1" x14ac:dyDescent="0.3">
      <c r="A4" s="11" t="s">
        <v>144</v>
      </c>
      <c r="B4" s="11" t="s">
        <v>145</v>
      </c>
      <c r="C4" s="11" t="s">
        <v>146</v>
      </c>
      <c r="D4" s="11" t="s">
        <v>147</v>
      </c>
      <c r="E4" s="11" t="s">
        <v>148</v>
      </c>
      <c r="F4" s="11" t="s">
        <v>149</v>
      </c>
      <c r="G4" s="11" t="s">
        <v>150</v>
      </c>
      <c r="H4" s="11" t="s">
        <v>151</v>
      </c>
      <c r="I4" s="25" t="s">
        <v>152</v>
      </c>
      <c r="J4" s="11" t="s">
        <v>153</v>
      </c>
    </row>
    <row r="5" spans="1:10" ht="39.75" customHeight="1" x14ac:dyDescent="0.3">
      <c r="A5" s="15" t="s">
        <v>154</v>
      </c>
      <c r="B5" s="15" t="s">
        <v>155</v>
      </c>
      <c r="C5" s="15" t="s">
        <v>156</v>
      </c>
      <c r="D5" s="15" t="s">
        <v>157</v>
      </c>
      <c r="E5" s="15" t="s">
        <v>158</v>
      </c>
      <c r="F5" s="15" t="s">
        <v>159</v>
      </c>
      <c r="G5" s="15" t="s">
        <v>160</v>
      </c>
      <c r="H5" s="15" t="s">
        <v>161</v>
      </c>
      <c r="I5" s="27" t="s">
        <v>162</v>
      </c>
      <c r="J5" s="15" t="s">
        <v>153</v>
      </c>
    </row>
    <row r="6" spans="1:10" ht="39.75" customHeight="1" x14ac:dyDescent="0.3">
      <c r="A6" s="11" t="s">
        <v>71</v>
      </c>
      <c r="B6" s="11" t="s">
        <v>72</v>
      </c>
      <c r="C6" s="11" t="s">
        <v>163</v>
      </c>
      <c r="D6" s="11" t="s">
        <v>164</v>
      </c>
      <c r="E6" s="11" t="s">
        <v>99</v>
      </c>
      <c r="F6" s="11" t="s">
        <v>99</v>
      </c>
      <c r="G6" s="11" t="s">
        <v>99</v>
      </c>
      <c r="H6" s="11" t="s">
        <v>165</v>
      </c>
      <c r="I6" s="27" t="s">
        <v>166</v>
      </c>
      <c r="J6" s="11" t="s">
        <v>167</v>
      </c>
    </row>
    <row r="7" spans="1:10" ht="39.75" customHeight="1" x14ac:dyDescent="0.3">
      <c r="A7" s="15" t="s">
        <v>80</v>
      </c>
      <c r="B7" s="15" t="s">
        <v>81</v>
      </c>
      <c r="C7" s="15" t="s">
        <v>168</v>
      </c>
      <c r="D7" s="15" t="s">
        <v>164</v>
      </c>
      <c r="E7" s="15" t="s">
        <v>99</v>
      </c>
      <c r="F7" s="15" t="s">
        <v>99</v>
      </c>
      <c r="G7" s="15" t="s">
        <v>99</v>
      </c>
      <c r="H7" s="15" t="s">
        <v>169</v>
      </c>
      <c r="I7" s="26" t="s">
        <v>170</v>
      </c>
      <c r="J7" s="15" t="s">
        <v>171</v>
      </c>
    </row>
    <row r="8" spans="1:10" ht="39.75" customHeight="1" x14ac:dyDescent="0.3">
      <c r="A8" s="11" t="s">
        <v>172</v>
      </c>
      <c r="B8" s="11" t="s">
        <v>173</v>
      </c>
      <c r="C8" s="11" t="s">
        <v>174</v>
      </c>
      <c r="D8" s="11" t="s">
        <v>164</v>
      </c>
      <c r="E8" s="11" t="s">
        <v>99</v>
      </c>
      <c r="F8" s="11" t="s">
        <v>99</v>
      </c>
      <c r="G8" s="11" t="s">
        <v>99</v>
      </c>
      <c r="H8" s="11" t="s">
        <v>175</v>
      </c>
      <c r="I8" s="27" t="s">
        <v>176</v>
      </c>
      <c r="J8" s="11" t="s">
        <v>177</v>
      </c>
    </row>
    <row r="9" spans="1:10" ht="39.75" customHeight="1" x14ac:dyDescent="0.3">
      <c r="A9" s="15" t="s">
        <v>178</v>
      </c>
      <c r="B9" s="15" t="s">
        <v>179</v>
      </c>
      <c r="C9" s="15" t="s">
        <v>180</v>
      </c>
      <c r="D9" s="15" t="s">
        <v>164</v>
      </c>
      <c r="E9" s="15" t="s">
        <v>99</v>
      </c>
      <c r="F9" s="15" t="s">
        <v>99</v>
      </c>
      <c r="G9" s="15" t="s">
        <v>99</v>
      </c>
      <c r="H9" s="15" t="s">
        <v>181</v>
      </c>
      <c r="I9" s="25" t="s">
        <v>182</v>
      </c>
      <c r="J9" s="15" t="s">
        <v>177</v>
      </c>
    </row>
  </sheetData>
  <autoFilter ref="A2:J2" xr:uid="{00000000-0009-0000-0000-000002000000}"/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"/>
  <sheetViews>
    <sheetView showGridLines="0" zoomScaleNormal="100" workbookViewId="0">
      <pane ySplit="2" topLeftCell="A9" activePane="bottomLeft" state="frozen"/>
      <selection pane="bottomLeft" sqref="A1:I1"/>
    </sheetView>
  </sheetViews>
  <sheetFormatPr defaultColWidth="8.6640625" defaultRowHeight="14.4" x14ac:dyDescent="0.3"/>
  <cols>
    <col min="1" max="1" width="9" customWidth="1"/>
    <col min="2" max="2" width="22" customWidth="1"/>
    <col min="3" max="4" width="28" customWidth="1"/>
    <col min="5" max="5" width="14" customWidth="1"/>
    <col min="6" max="6" width="22" customWidth="1"/>
    <col min="7" max="7" width="50" customWidth="1"/>
    <col min="8" max="8" width="11" customWidth="1"/>
    <col min="9" max="9" width="28" customWidth="1"/>
  </cols>
  <sheetData>
    <row r="1" spans="1:9" ht="39.75" customHeight="1" x14ac:dyDescent="0.3">
      <c r="A1" s="1" t="s">
        <v>183</v>
      </c>
      <c r="B1" s="1"/>
      <c r="C1" s="1"/>
      <c r="D1" s="1"/>
      <c r="E1" s="1"/>
      <c r="F1" s="1"/>
      <c r="G1" s="1"/>
      <c r="H1" s="1"/>
      <c r="I1" s="1"/>
    </row>
    <row r="2" spans="1:9" ht="27.6" x14ac:dyDescent="0.3">
      <c r="A2" s="24" t="s">
        <v>37</v>
      </c>
      <c r="B2" s="24" t="s">
        <v>54</v>
      </c>
      <c r="C2" s="24" t="s">
        <v>184</v>
      </c>
      <c r="D2" s="24" t="s">
        <v>185</v>
      </c>
      <c r="E2" s="24" t="s">
        <v>186</v>
      </c>
      <c r="F2" s="24" t="s">
        <v>187</v>
      </c>
      <c r="G2" s="24" t="s">
        <v>188</v>
      </c>
      <c r="H2" s="24" t="s">
        <v>189</v>
      </c>
      <c r="I2" s="24" t="s">
        <v>61</v>
      </c>
    </row>
    <row r="3" spans="1:9" ht="45" customHeight="1" x14ac:dyDescent="0.3">
      <c r="A3" s="15" t="s">
        <v>190</v>
      </c>
      <c r="B3" s="15" t="s">
        <v>191</v>
      </c>
      <c r="C3" s="15" t="s">
        <v>192</v>
      </c>
      <c r="D3" s="15" t="s">
        <v>193</v>
      </c>
      <c r="E3" s="15" t="s">
        <v>194</v>
      </c>
      <c r="F3" s="26" t="s">
        <v>195</v>
      </c>
      <c r="G3" s="15" t="s">
        <v>196</v>
      </c>
      <c r="H3" s="26">
        <v>6</v>
      </c>
      <c r="I3" s="15" t="s">
        <v>197</v>
      </c>
    </row>
    <row r="4" spans="1:9" ht="45" customHeight="1" x14ac:dyDescent="0.3">
      <c r="A4" s="11" t="s">
        <v>198</v>
      </c>
      <c r="B4" s="11" t="s">
        <v>199</v>
      </c>
      <c r="C4" s="11" t="s">
        <v>200</v>
      </c>
      <c r="D4" s="11" t="s">
        <v>201</v>
      </c>
      <c r="E4" s="11" t="s">
        <v>202</v>
      </c>
      <c r="F4" s="11" t="s">
        <v>203</v>
      </c>
      <c r="G4" s="11" t="s">
        <v>204</v>
      </c>
      <c r="H4" s="27">
        <v>30</v>
      </c>
      <c r="I4" s="11" t="s">
        <v>205</v>
      </c>
    </row>
    <row r="5" spans="1:9" ht="45" customHeight="1" x14ac:dyDescent="0.3">
      <c r="A5" s="15" t="s">
        <v>172</v>
      </c>
      <c r="B5" s="15" t="s">
        <v>173</v>
      </c>
      <c r="C5" s="15" t="s">
        <v>206</v>
      </c>
      <c r="D5" s="15" t="s">
        <v>207</v>
      </c>
      <c r="E5" s="15" t="s">
        <v>208</v>
      </c>
      <c r="F5" s="15" t="s">
        <v>209</v>
      </c>
      <c r="G5" s="15" t="s">
        <v>210</v>
      </c>
      <c r="H5" s="28">
        <v>0</v>
      </c>
      <c r="I5" s="15" t="s">
        <v>211</v>
      </c>
    </row>
    <row r="6" spans="1:9" ht="45" customHeight="1" x14ac:dyDescent="0.3">
      <c r="A6" s="11" t="s">
        <v>212</v>
      </c>
      <c r="B6" s="11" t="s">
        <v>213</v>
      </c>
      <c r="C6" s="11" t="s">
        <v>214</v>
      </c>
      <c r="D6" s="11" t="s">
        <v>215</v>
      </c>
      <c r="E6" s="11" t="s">
        <v>216</v>
      </c>
      <c r="F6" s="11" t="s">
        <v>217</v>
      </c>
      <c r="G6" s="11" t="s">
        <v>218</v>
      </c>
      <c r="H6" s="28">
        <v>0</v>
      </c>
      <c r="I6" s="11" t="s">
        <v>177</v>
      </c>
    </row>
    <row r="7" spans="1:9" ht="45" customHeight="1" x14ac:dyDescent="0.3">
      <c r="A7" s="15" t="s">
        <v>219</v>
      </c>
      <c r="B7" s="15" t="s">
        <v>220</v>
      </c>
      <c r="C7" s="15" t="s">
        <v>221</v>
      </c>
      <c r="D7" s="15" t="s">
        <v>222</v>
      </c>
      <c r="E7" s="15" t="s">
        <v>223</v>
      </c>
      <c r="F7" s="15" t="s">
        <v>224</v>
      </c>
      <c r="G7" s="15" t="s">
        <v>225</v>
      </c>
      <c r="H7" s="28">
        <v>0</v>
      </c>
      <c r="I7" s="15" t="s">
        <v>177</v>
      </c>
    </row>
    <row r="8" spans="1:9" ht="45" customHeight="1" x14ac:dyDescent="0.3">
      <c r="A8" s="11" t="s">
        <v>178</v>
      </c>
      <c r="B8" s="11" t="s">
        <v>179</v>
      </c>
      <c r="C8" s="11" t="s">
        <v>226</v>
      </c>
      <c r="D8" s="11" t="s">
        <v>227</v>
      </c>
      <c r="E8" s="11" t="s">
        <v>228</v>
      </c>
      <c r="F8" s="25" t="s">
        <v>229</v>
      </c>
      <c r="G8" s="11" t="s">
        <v>230</v>
      </c>
      <c r="H8" s="28">
        <v>-25</v>
      </c>
      <c r="I8" s="11" t="s">
        <v>231</v>
      </c>
    </row>
    <row r="9" spans="1:9" ht="45" customHeight="1" x14ac:dyDescent="0.3">
      <c r="A9" s="15" t="s">
        <v>232</v>
      </c>
      <c r="B9" s="15" t="s">
        <v>233</v>
      </c>
      <c r="C9" s="15" t="s">
        <v>234</v>
      </c>
      <c r="D9" s="15" t="s">
        <v>235</v>
      </c>
      <c r="E9" s="15" t="s">
        <v>236</v>
      </c>
      <c r="F9" s="25" t="s">
        <v>229</v>
      </c>
      <c r="G9" s="15" t="s">
        <v>237</v>
      </c>
      <c r="H9" s="28">
        <v>-12</v>
      </c>
      <c r="I9" s="15" t="s">
        <v>177</v>
      </c>
    </row>
    <row r="10" spans="1:9" ht="45" customHeight="1" x14ac:dyDescent="0.3">
      <c r="A10" s="11" t="s">
        <v>99</v>
      </c>
      <c r="B10" s="11" t="s">
        <v>238</v>
      </c>
      <c r="C10" s="11" t="s">
        <v>239</v>
      </c>
      <c r="D10" s="11" t="s">
        <v>240</v>
      </c>
      <c r="E10" s="11" t="s">
        <v>241</v>
      </c>
      <c r="F10" s="11" t="s">
        <v>242</v>
      </c>
      <c r="G10" s="11" t="s">
        <v>243</v>
      </c>
      <c r="H10" s="27">
        <v>21</v>
      </c>
      <c r="I10" s="11" t="s">
        <v>244</v>
      </c>
    </row>
    <row r="11" spans="1:9" ht="45" customHeight="1" x14ac:dyDescent="0.3">
      <c r="A11" s="15" t="s">
        <v>99</v>
      </c>
      <c r="B11" s="15" t="s">
        <v>238</v>
      </c>
      <c r="C11" s="15" t="s">
        <v>245</v>
      </c>
      <c r="D11" s="15" t="s">
        <v>240</v>
      </c>
      <c r="E11" s="15" t="s">
        <v>246</v>
      </c>
      <c r="F11" s="15" t="s">
        <v>247</v>
      </c>
      <c r="G11" s="15" t="s">
        <v>248</v>
      </c>
      <c r="H11" s="15">
        <v>51</v>
      </c>
      <c r="I11" s="15" t="s">
        <v>249</v>
      </c>
    </row>
  </sheetData>
  <autoFilter ref="A2:I2" xr:uid="{00000000-0009-0000-0000-000003000000}"/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"/>
  <sheetViews>
    <sheetView showGridLines="0" tabSelected="1" zoomScaleNormal="100" workbookViewId="0">
      <pane ySplit="2" topLeftCell="A3" activePane="bottomLeft" state="frozen"/>
      <selection pane="bottomLeft" sqref="A1:H1"/>
    </sheetView>
  </sheetViews>
  <sheetFormatPr defaultColWidth="8.6640625" defaultRowHeight="14.4" x14ac:dyDescent="0.3"/>
  <cols>
    <col min="1" max="1" width="8" customWidth="1"/>
    <col min="2" max="2" width="22" customWidth="1"/>
    <col min="3" max="3" width="26" customWidth="1"/>
    <col min="4" max="4" width="18" customWidth="1"/>
    <col min="5" max="5" width="16" customWidth="1"/>
    <col min="6" max="6" width="45" customWidth="1"/>
    <col min="7" max="7" width="14" customWidth="1"/>
    <col min="8" max="8" width="28" customWidth="1"/>
  </cols>
  <sheetData>
    <row r="1" spans="1:8" ht="39.75" customHeight="1" x14ac:dyDescent="0.3">
      <c r="A1" s="1" t="s">
        <v>250</v>
      </c>
      <c r="B1" s="1"/>
      <c r="C1" s="1"/>
      <c r="D1" s="1"/>
      <c r="E1" s="1"/>
      <c r="F1" s="1"/>
      <c r="G1" s="1"/>
      <c r="H1" s="1"/>
    </row>
    <row r="2" spans="1:8" ht="27.6" x14ac:dyDescent="0.3">
      <c r="A2" s="24" t="s">
        <v>37</v>
      </c>
      <c r="B2" s="24" t="s">
        <v>54</v>
      </c>
      <c r="C2" s="24" t="s">
        <v>251</v>
      </c>
      <c r="D2" s="24" t="s">
        <v>252</v>
      </c>
      <c r="E2" s="24" t="s">
        <v>253</v>
      </c>
      <c r="F2" s="24" t="s">
        <v>254</v>
      </c>
      <c r="G2" s="24" t="s">
        <v>59</v>
      </c>
      <c r="H2" s="24" t="s">
        <v>61</v>
      </c>
    </row>
    <row r="3" spans="1:8" ht="39.75" customHeight="1" x14ac:dyDescent="0.3">
      <c r="A3" s="15" t="s">
        <v>62</v>
      </c>
      <c r="B3" s="15" t="s">
        <v>63</v>
      </c>
      <c r="C3" s="15" t="s">
        <v>255</v>
      </c>
      <c r="D3" s="25" t="s">
        <v>256</v>
      </c>
      <c r="E3" s="15" t="s">
        <v>257</v>
      </c>
      <c r="F3" s="15" t="s">
        <v>258</v>
      </c>
      <c r="G3" s="26" t="s">
        <v>68</v>
      </c>
      <c r="H3" s="15" t="s">
        <v>259</v>
      </c>
    </row>
    <row r="4" spans="1:8" ht="39.75" customHeight="1" x14ac:dyDescent="0.3">
      <c r="A4" s="11" t="s">
        <v>71</v>
      </c>
      <c r="B4" s="11" t="s">
        <v>72</v>
      </c>
      <c r="C4" s="11" t="s">
        <v>260</v>
      </c>
      <c r="D4" s="27" t="s">
        <v>261</v>
      </c>
      <c r="E4" s="11" t="s">
        <v>262</v>
      </c>
      <c r="F4" s="11" t="s">
        <v>263</v>
      </c>
      <c r="G4" s="27" t="s">
        <v>94</v>
      </c>
      <c r="H4" s="11" t="s">
        <v>264</v>
      </c>
    </row>
    <row r="5" spans="1:8" ht="39.75" customHeight="1" x14ac:dyDescent="0.3">
      <c r="A5" s="15" t="s">
        <v>265</v>
      </c>
      <c r="B5" s="15" t="s">
        <v>266</v>
      </c>
      <c r="C5" s="15" t="s">
        <v>267</v>
      </c>
      <c r="D5" s="25" t="s">
        <v>142</v>
      </c>
      <c r="E5" s="15" t="s">
        <v>268</v>
      </c>
      <c r="F5" s="15" t="s">
        <v>269</v>
      </c>
      <c r="G5" s="27" t="s">
        <v>94</v>
      </c>
      <c r="H5" s="15" t="s">
        <v>270</v>
      </c>
    </row>
    <row r="6" spans="1:8" ht="39.75" customHeight="1" x14ac:dyDescent="0.3">
      <c r="A6" s="11" t="s">
        <v>271</v>
      </c>
      <c r="B6" s="11" t="s">
        <v>272</v>
      </c>
      <c r="C6" s="11" t="s">
        <v>273</v>
      </c>
      <c r="D6" s="25" t="s">
        <v>142</v>
      </c>
      <c r="E6" s="11" t="s">
        <v>274</v>
      </c>
      <c r="F6" s="11" t="s">
        <v>275</v>
      </c>
      <c r="G6" s="27" t="s">
        <v>94</v>
      </c>
      <c r="H6" s="11" t="s">
        <v>276</v>
      </c>
    </row>
    <row r="7" spans="1:8" ht="39.75" customHeight="1" x14ac:dyDescent="0.3">
      <c r="A7" s="15" t="s">
        <v>277</v>
      </c>
      <c r="B7" s="15" t="s">
        <v>278</v>
      </c>
      <c r="C7" s="15" t="s">
        <v>279</v>
      </c>
      <c r="D7" s="25" t="s">
        <v>142</v>
      </c>
      <c r="E7" s="15" t="s">
        <v>280</v>
      </c>
      <c r="F7" s="15" t="s">
        <v>281</v>
      </c>
      <c r="G7" s="27" t="s">
        <v>94</v>
      </c>
      <c r="H7" s="15" t="s">
        <v>282</v>
      </c>
    </row>
    <row r="8" spans="1:8" ht="39.75" customHeight="1" x14ac:dyDescent="0.3">
      <c r="A8" s="11" t="s">
        <v>283</v>
      </c>
      <c r="B8" s="11" t="s">
        <v>284</v>
      </c>
      <c r="C8" s="11" t="s">
        <v>279</v>
      </c>
      <c r="D8" s="25" t="s">
        <v>142</v>
      </c>
      <c r="E8" s="11" t="s">
        <v>280</v>
      </c>
      <c r="F8" s="11" t="s">
        <v>285</v>
      </c>
      <c r="G8" s="27" t="s">
        <v>94</v>
      </c>
      <c r="H8" s="11" t="s">
        <v>286</v>
      </c>
    </row>
    <row r="9" spans="1:8" ht="39.75" customHeight="1" x14ac:dyDescent="0.3">
      <c r="A9" s="15" t="s">
        <v>287</v>
      </c>
      <c r="B9" s="15" t="s">
        <v>288</v>
      </c>
      <c r="C9" s="15" t="s">
        <v>289</v>
      </c>
      <c r="D9" s="25" t="s">
        <v>142</v>
      </c>
      <c r="E9" s="15" t="s">
        <v>290</v>
      </c>
      <c r="F9" s="15" t="s">
        <v>291</v>
      </c>
      <c r="G9" s="27" t="s">
        <v>123</v>
      </c>
      <c r="H9" s="15" t="s">
        <v>286</v>
      </c>
    </row>
    <row r="10" spans="1:8" ht="39.75" customHeight="1" x14ac:dyDescent="0.3">
      <c r="A10" s="11" t="s">
        <v>292</v>
      </c>
      <c r="B10" s="11" t="s">
        <v>293</v>
      </c>
      <c r="C10" s="11" t="s">
        <v>294</v>
      </c>
      <c r="D10" s="11" t="s">
        <v>295</v>
      </c>
      <c r="E10" s="11" t="s">
        <v>296</v>
      </c>
      <c r="F10" s="11" t="s">
        <v>297</v>
      </c>
      <c r="G10" s="11" t="s">
        <v>116</v>
      </c>
      <c r="H10" s="11" t="s">
        <v>298</v>
      </c>
    </row>
  </sheetData>
  <autoFilter ref="A2:H2" xr:uid="{00000000-0009-0000-0000-000004000000}"/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4"/>
  <sheetViews>
    <sheetView showGridLines="0" zoomScaleNormal="100" workbookViewId="0">
      <pane ySplit="2" topLeftCell="A3" activePane="bottomLeft" state="frozen"/>
      <selection pane="bottomLeft"/>
    </sheetView>
  </sheetViews>
  <sheetFormatPr defaultColWidth="8.6640625" defaultRowHeight="14.4" x14ac:dyDescent="0.3"/>
  <cols>
    <col min="1" max="1" width="38" customWidth="1"/>
    <col min="2" max="2" width="22" customWidth="1"/>
    <col min="3" max="3" width="26" customWidth="1"/>
    <col min="4" max="4" width="20" customWidth="1"/>
    <col min="5" max="5" width="10" customWidth="1"/>
    <col min="6" max="6" width="22" customWidth="1"/>
    <col min="7" max="7" width="45" customWidth="1"/>
    <col min="8" max="8" width="28" customWidth="1"/>
  </cols>
  <sheetData>
    <row r="1" spans="1:8" ht="39.75" customHeight="1" x14ac:dyDescent="0.3">
      <c r="A1" s="1" t="s">
        <v>299</v>
      </c>
      <c r="B1" s="1"/>
      <c r="C1" s="1"/>
      <c r="D1" s="1"/>
      <c r="E1" s="1"/>
      <c r="F1" s="1"/>
      <c r="G1" s="1"/>
      <c r="H1" s="1"/>
    </row>
    <row r="2" spans="1:8" ht="27.6" x14ac:dyDescent="0.3">
      <c r="A2" s="24" t="s">
        <v>300</v>
      </c>
      <c r="B2" s="24" t="s">
        <v>301</v>
      </c>
      <c r="C2" s="24" t="s">
        <v>302</v>
      </c>
      <c r="D2" s="24" t="s">
        <v>303</v>
      </c>
      <c r="E2" s="24" t="s">
        <v>189</v>
      </c>
      <c r="F2" s="24" t="s">
        <v>304</v>
      </c>
      <c r="G2" s="24" t="s">
        <v>305</v>
      </c>
      <c r="H2" s="24" t="s">
        <v>61</v>
      </c>
    </row>
    <row r="3" spans="1:8" ht="39.75" customHeight="1" x14ac:dyDescent="0.3">
      <c r="A3" s="15" t="s">
        <v>306</v>
      </c>
      <c r="B3" s="15" t="s">
        <v>307</v>
      </c>
      <c r="C3" s="15" t="s">
        <v>308</v>
      </c>
      <c r="D3" s="15" t="s">
        <v>309</v>
      </c>
      <c r="E3" s="26">
        <v>0</v>
      </c>
      <c r="F3" s="15" t="s">
        <v>310</v>
      </c>
      <c r="G3" s="15" t="s">
        <v>311</v>
      </c>
      <c r="H3" s="15" t="s">
        <v>312</v>
      </c>
    </row>
    <row r="4" spans="1:8" ht="39.75" customHeight="1" x14ac:dyDescent="0.3">
      <c r="A4" s="11" t="s">
        <v>313</v>
      </c>
      <c r="B4" s="11" t="s">
        <v>314</v>
      </c>
      <c r="C4" s="11" t="s">
        <v>315</v>
      </c>
      <c r="D4" s="11" t="s">
        <v>309</v>
      </c>
      <c r="E4" s="27">
        <v>7</v>
      </c>
      <c r="F4" s="11" t="s">
        <v>316</v>
      </c>
      <c r="G4" s="11" t="s">
        <v>317</v>
      </c>
      <c r="H4" s="11" t="s">
        <v>318</v>
      </c>
    </row>
    <row r="5" spans="1:8" ht="39.75" customHeight="1" x14ac:dyDescent="0.3">
      <c r="A5" s="15" t="s">
        <v>319</v>
      </c>
      <c r="B5" s="15" t="s">
        <v>314</v>
      </c>
      <c r="C5" s="15" t="s">
        <v>320</v>
      </c>
      <c r="D5" s="15" t="s">
        <v>309</v>
      </c>
      <c r="E5" s="27">
        <v>7</v>
      </c>
      <c r="F5" s="15" t="s">
        <v>321</v>
      </c>
      <c r="G5" s="15" t="s">
        <v>322</v>
      </c>
      <c r="H5" s="15" t="s">
        <v>323</v>
      </c>
    </row>
    <row r="6" spans="1:8" ht="39.75" customHeight="1" x14ac:dyDescent="0.3">
      <c r="A6" s="11" t="s">
        <v>324</v>
      </c>
      <c r="B6" s="11" t="s">
        <v>325</v>
      </c>
      <c r="C6" s="11" t="s">
        <v>320</v>
      </c>
      <c r="D6" s="11" t="s">
        <v>326</v>
      </c>
      <c r="E6" s="27">
        <v>7</v>
      </c>
      <c r="F6" s="11" t="s">
        <v>327</v>
      </c>
      <c r="G6" s="11" t="s">
        <v>328</v>
      </c>
      <c r="H6" s="11" t="s">
        <v>329</v>
      </c>
    </row>
    <row r="7" spans="1:8" ht="39.75" customHeight="1" x14ac:dyDescent="0.3">
      <c r="A7" s="15" t="s">
        <v>330</v>
      </c>
      <c r="B7" s="15" t="s">
        <v>331</v>
      </c>
      <c r="C7" s="15" t="s">
        <v>332</v>
      </c>
      <c r="D7" s="15" t="s">
        <v>309</v>
      </c>
      <c r="E7" s="29">
        <v>15</v>
      </c>
      <c r="F7" s="15" t="s">
        <v>333</v>
      </c>
      <c r="G7" s="15" t="s">
        <v>334</v>
      </c>
      <c r="H7" s="15" t="s">
        <v>323</v>
      </c>
    </row>
    <row r="8" spans="1:8" ht="39.75" customHeight="1" x14ac:dyDescent="0.3">
      <c r="A8" s="11" t="s">
        <v>335</v>
      </c>
      <c r="B8" s="11" t="s">
        <v>241</v>
      </c>
      <c r="C8" s="11" t="s">
        <v>336</v>
      </c>
      <c r="D8" s="11" t="s">
        <v>337</v>
      </c>
      <c r="E8" s="29">
        <v>21</v>
      </c>
      <c r="F8" s="11" t="s">
        <v>338</v>
      </c>
      <c r="G8" s="11" t="s">
        <v>339</v>
      </c>
      <c r="H8" s="11" t="s">
        <v>340</v>
      </c>
    </row>
    <row r="9" spans="1:8" ht="39.75" customHeight="1" x14ac:dyDescent="0.3">
      <c r="A9" s="15" t="s">
        <v>341</v>
      </c>
      <c r="B9" s="15" t="s">
        <v>342</v>
      </c>
      <c r="C9" s="15" t="s">
        <v>308</v>
      </c>
      <c r="D9" s="15" t="s">
        <v>309</v>
      </c>
      <c r="E9" s="29">
        <v>21</v>
      </c>
      <c r="F9" s="15" t="s">
        <v>343</v>
      </c>
      <c r="G9" s="15" t="s">
        <v>344</v>
      </c>
      <c r="H9" s="15" t="s">
        <v>323</v>
      </c>
    </row>
    <row r="10" spans="1:8" ht="39.75" customHeight="1" x14ac:dyDescent="0.3">
      <c r="A10" s="11" t="s">
        <v>345</v>
      </c>
      <c r="B10" s="11" t="s">
        <v>342</v>
      </c>
      <c r="C10" s="11" t="s">
        <v>346</v>
      </c>
      <c r="D10" s="11" t="s">
        <v>347</v>
      </c>
      <c r="E10" s="29">
        <v>21</v>
      </c>
      <c r="F10" s="11" t="s">
        <v>348</v>
      </c>
      <c r="G10" s="11" t="s">
        <v>349</v>
      </c>
      <c r="H10" s="11" t="s">
        <v>350</v>
      </c>
    </row>
    <row r="11" spans="1:8" ht="39.75" customHeight="1" x14ac:dyDescent="0.3">
      <c r="A11" s="15" t="s">
        <v>351</v>
      </c>
      <c r="B11" s="15" t="s">
        <v>352</v>
      </c>
      <c r="C11" s="15" t="s">
        <v>353</v>
      </c>
      <c r="D11" s="15" t="s">
        <v>354</v>
      </c>
      <c r="E11" s="29">
        <v>28</v>
      </c>
      <c r="F11" s="15" t="s">
        <v>355</v>
      </c>
      <c r="G11" s="15" t="s">
        <v>356</v>
      </c>
      <c r="H11" s="15" t="s">
        <v>357</v>
      </c>
    </row>
    <row r="12" spans="1:8" ht="39.75" customHeight="1" x14ac:dyDescent="0.3">
      <c r="A12" s="11" t="s">
        <v>358</v>
      </c>
      <c r="B12" s="11" t="s">
        <v>202</v>
      </c>
      <c r="C12" s="11" t="s">
        <v>359</v>
      </c>
      <c r="D12" s="11" t="s">
        <v>360</v>
      </c>
      <c r="E12" s="29">
        <v>30</v>
      </c>
      <c r="F12" s="11" t="s">
        <v>361</v>
      </c>
      <c r="G12" s="11" t="s">
        <v>362</v>
      </c>
      <c r="H12" s="11" t="s">
        <v>350</v>
      </c>
    </row>
    <row r="13" spans="1:8" ht="39.75" customHeight="1" x14ac:dyDescent="0.3">
      <c r="A13" s="15" t="s">
        <v>363</v>
      </c>
      <c r="B13" s="15" t="s">
        <v>202</v>
      </c>
      <c r="C13" s="15" t="s">
        <v>364</v>
      </c>
      <c r="D13" s="26" t="s">
        <v>365</v>
      </c>
      <c r="E13" s="29">
        <v>30</v>
      </c>
      <c r="F13" s="15" t="s">
        <v>366</v>
      </c>
      <c r="G13" s="15" t="s">
        <v>367</v>
      </c>
      <c r="H13" s="15" t="s">
        <v>368</v>
      </c>
    </row>
    <row r="14" spans="1:8" ht="39.75" customHeight="1" x14ac:dyDescent="0.3">
      <c r="A14" s="11" t="s">
        <v>369</v>
      </c>
      <c r="B14" s="11" t="s">
        <v>246</v>
      </c>
      <c r="C14" s="11" t="s">
        <v>336</v>
      </c>
      <c r="D14" s="11" t="s">
        <v>337</v>
      </c>
      <c r="E14" s="11">
        <v>51</v>
      </c>
      <c r="F14" s="11" t="s">
        <v>370</v>
      </c>
      <c r="G14" s="11" t="s">
        <v>371</v>
      </c>
      <c r="H14" s="11" t="s">
        <v>340</v>
      </c>
    </row>
  </sheetData>
  <autoFilter ref="A2:H2" xr:uid="{00000000-0009-0000-0000-000005000000}"/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Unusual Volume</vt:lpstr>
      <vt:lpstr>SEC Filings</vt:lpstr>
      <vt:lpstr>FDA Catalysts</vt:lpstr>
      <vt:lpstr>Social Buzz</vt:lpstr>
      <vt:lpstr>Conferences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ampsson ampsson</cp:lastModifiedBy>
  <cp:revision>0</cp:revision>
  <dcterms:created xsi:type="dcterms:W3CDTF">2026-04-01T05:57:24Z</dcterms:created>
  <dcterms:modified xsi:type="dcterms:W3CDTF">2026-04-01T06:18:51Z</dcterms:modified>
  <dc:language>en-US</dc:language>
</cp:coreProperties>
</file>